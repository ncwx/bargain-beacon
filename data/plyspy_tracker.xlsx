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atashachan/Desktop/loo roll tracker/"/>
    </mc:Choice>
  </mc:AlternateContent>
  <xr:revisionPtr revIDLastSave="0" documentId="13_ncr:1_{B0E57F3F-CC89-F549-BDCD-23953EE4110C}" xr6:coauthVersionLast="47" xr6:coauthVersionMax="47" xr10:uidLastSave="{00000000-0000-0000-0000-000000000000}"/>
  <bookViews>
    <workbookView xWindow="0" yWindow="500" windowWidth="38400" windowHeight="19880" activeTab="4" xr2:uid="{00000000-000D-0000-FFFF-FFFF00000000}"/>
  </bookViews>
  <sheets>
    <sheet name="Read Me" sheetId="1" r:id="rId1"/>
    <sheet name="Listings" sheetId="2" r:id="rId2"/>
    <sheet name="Retailer Summary" sheetId="6" r:id="rId3"/>
    <sheet name="Brand Summary" sheetId="7" r:id="rId4"/>
    <sheet name="Dashboard" sheetId="3" r:id="rId5"/>
    <sheet name="Retailer Rules" sheetId="4" r:id="rId6"/>
    <sheet name="Lookup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7" l="1"/>
  <c r="C35" i="7"/>
  <c r="D35" i="7"/>
  <c r="E35" i="7" a="1"/>
  <c r="E35" i="7" s="1"/>
  <c r="B36" i="7"/>
  <c r="C36" i="7"/>
  <c r="D36" i="7"/>
  <c r="E36" i="7" a="1"/>
  <c r="E36" i="7" s="1"/>
  <c r="B37" i="7"/>
  <c r="C37" i="7"/>
  <c r="D37" i="7"/>
  <c r="E37" i="7" a="1"/>
  <c r="E37" i="7" s="1"/>
  <c r="B38" i="7"/>
  <c r="C38" i="7"/>
  <c r="D38" i="7"/>
  <c r="E38" i="7" a="1"/>
  <c r="E38" i="7" s="1"/>
  <c r="B39" i="7"/>
  <c r="C39" i="7"/>
  <c r="D39" i="7"/>
  <c r="E39" i="7" a="1"/>
  <c r="E39" i="7" s="1"/>
  <c r="B40" i="7"/>
  <c r="C40" i="7"/>
  <c r="D40" i="7"/>
  <c r="E40" i="7" a="1"/>
  <c r="E40" i="7" s="1"/>
  <c r="B41" i="7"/>
  <c r="C41" i="7"/>
  <c r="D41" i="7"/>
  <c r="E41" i="7" a="1"/>
  <c r="E41" i="7" s="1"/>
  <c r="B3" i="7"/>
  <c r="C3" i="7"/>
  <c r="D3" i="7"/>
  <c r="E3" i="7" a="1"/>
  <c r="E3" i="7" s="1"/>
  <c r="B4" i="7"/>
  <c r="C4" i="7"/>
  <c r="D4" i="7"/>
  <c r="E4" i="7" a="1"/>
  <c r="E4" i="7" s="1"/>
  <c r="B5" i="7"/>
  <c r="C5" i="7"/>
  <c r="E5" i="7" s="1" a="1"/>
  <c r="E5" i="7" s="1"/>
  <c r="D5" i="7"/>
  <c r="B6" i="7"/>
  <c r="C6" i="7"/>
  <c r="E6" i="7" s="1" a="1"/>
  <c r="E6" i="7" s="1"/>
  <c r="D6" i="7"/>
  <c r="B7" i="7"/>
  <c r="C7" i="7"/>
  <c r="E7" i="7" s="1" a="1"/>
  <c r="E7" i="7" s="1"/>
  <c r="D7" i="7"/>
  <c r="B8" i="7"/>
  <c r="C8" i="7"/>
  <c r="D8" i="7"/>
  <c r="E8" i="7" a="1"/>
  <c r="E8" i="7" s="1"/>
  <c r="B9" i="7"/>
  <c r="C9" i="7"/>
  <c r="D9" i="7"/>
  <c r="E9" i="7" a="1"/>
  <c r="E9" i="7" s="1"/>
  <c r="B10" i="7"/>
  <c r="C10" i="7"/>
  <c r="E10" i="7" s="1" a="1"/>
  <c r="E10" i="7" s="1"/>
  <c r="D10" i="7"/>
  <c r="B11" i="7"/>
  <c r="C11" i="7"/>
  <c r="D11" i="7"/>
  <c r="E11" i="7" a="1"/>
  <c r="E11" i="7" s="1"/>
  <c r="B12" i="7"/>
  <c r="C12" i="7"/>
  <c r="D12" i="7"/>
  <c r="E12" i="7" a="1"/>
  <c r="E12" i="7" s="1"/>
  <c r="B13" i="7"/>
  <c r="C13" i="7"/>
  <c r="E13" i="7" s="1" a="1"/>
  <c r="E13" i="7" s="1"/>
  <c r="D13" i="7"/>
  <c r="B14" i="7"/>
  <c r="C14" i="7"/>
  <c r="E14" i="7" s="1" a="1"/>
  <c r="E14" i="7" s="1"/>
  <c r="D14" i="7"/>
  <c r="B15" i="7"/>
  <c r="C15" i="7"/>
  <c r="E15" i="7" s="1" a="1"/>
  <c r="E15" i="7" s="1"/>
  <c r="D15" i="7"/>
  <c r="B16" i="7"/>
  <c r="C16" i="7"/>
  <c r="D16" i="7"/>
  <c r="E16" i="7" a="1"/>
  <c r="E16" i="7" s="1"/>
  <c r="B17" i="7"/>
  <c r="C17" i="7"/>
  <c r="D17" i="7"/>
  <c r="E17" i="7" a="1"/>
  <c r="E17" i="7" s="1"/>
  <c r="B18" i="7"/>
  <c r="C18" i="7"/>
  <c r="E18" i="7" s="1" a="1"/>
  <c r="E18" i="7" s="1"/>
  <c r="D18" i="7"/>
  <c r="B19" i="7"/>
  <c r="C19" i="7"/>
  <c r="D19" i="7"/>
  <c r="E19" i="7" a="1"/>
  <c r="E19" i="7" s="1"/>
  <c r="B20" i="7"/>
  <c r="C20" i="7"/>
  <c r="D20" i="7"/>
  <c r="E20" i="7" a="1"/>
  <c r="E20" i="7" s="1"/>
  <c r="B21" i="7"/>
  <c r="C21" i="7"/>
  <c r="E21" i="7" s="1" a="1"/>
  <c r="E21" i="7" s="1"/>
  <c r="D21" i="7"/>
  <c r="B22" i="7"/>
  <c r="C22" i="7"/>
  <c r="E22" i="7" s="1" a="1"/>
  <c r="E22" i="7" s="1"/>
  <c r="D22" i="7"/>
  <c r="B23" i="7"/>
  <c r="C23" i="7"/>
  <c r="D23" i="7"/>
  <c r="E23" i="7" a="1"/>
  <c r="E23" i="7"/>
  <c r="B24" i="7"/>
  <c r="C24" i="7"/>
  <c r="D24" i="7"/>
  <c r="E24" i="7" a="1"/>
  <c r="E24" i="7" s="1"/>
  <c r="B25" i="7"/>
  <c r="C25" i="7"/>
  <c r="D25" i="7"/>
  <c r="E25" i="7" a="1"/>
  <c r="E25" i="7" s="1"/>
  <c r="B26" i="7"/>
  <c r="C26" i="7"/>
  <c r="E26" i="7" s="1" a="1"/>
  <c r="E26" i="7" s="1"/>
  <c r="D26" i="7"/>
  <c r="B27" i="7"/>
  <c r="C27" i="7"/>
  <c r="D27" i="7"/>
  <c r="E27" i="7" a="1"/>
  <c r="E27" i="7" s="1"/>
  <c r="B28" i="7"/>
  <c r="C28" i="7"/>
  <c r="D28" i="7"/>
  <c r="E28" i="7" a="1"/>
  <c r="E28" i="7" s="1"/>
  <c r="B29" i="7"/>
  <c r="C29" i="7"/>
  <c r="E29" i="7" s="1" a="1"/>
  <c r="E29" i="7" s="1"/>
  <c r="D29" i="7"/>
  <c r="B30" i="7"/>
  <c r="C30" i="7"/>
  <c r="E30" i="7" s="1" a="1"/>
  <c r="E30" i="7" s="1"/>
  <c r="D30" i="7"/>
  <c r="B31" i="7"/>
  <c r="C31" i="7"/>
  <c r="D31" i="7"/>
  <c r="E31" i="7" a="1"/>
  <c r="E31" i="7" s="1"/>
  <c r="B32" i="7"/>
  <c r="C32" i="7"/>
  <c r="D32" i="7"/>
  <c r="E32" i="7" a="1"/>
  <c r="E32" i="7" s="1"/>
  <c r="B33" i="7"/>
  <c r="C33" i="7"/>
  <c r="D33" i="7"/>
  <c r="E33" i="7" a="1"/>
  <c r="E33" i="7" s="1"/>
  <c r="B34" i="7"/>
  <c r="C34" i="7"/>
  <c r="E34" i="7" s="1" a="1"/>
  <c r="E34" i="7" s="1"/>
  <c r="D34" i="7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2" i="6" a="1"/>
  <c r="E2" i="6" s="1"/>
  <c r="D3" i="6"/>
  <c r="D4" i="6"/>
  <c r="D5" i="6"/>
  <c r="D6" i="6"/>
  <c r="D7" i="6"/>
  <c r="D8" i="6"/>
  <c r="D9" i="6"/>
  <c r="D10" i="6"/>
  <c r="D11" i="6"/>
  <c r="D2" i="6"/>
  <c r="C3" i="6"/>
  <c r="C4" i="6"/>
  <c r="C5" i="6"/>
  <c r="C6" i="6"/>
  <c r="C7" i="6"/>
  <c r="C8" i="6"/>
  <c r="C9" i="6"/>
  <c r="C10" i="6"/>
  <c r="C11" i="6"/>
  <c r="C2" i="6"/>
  <c r="B3" i="6"/>
  <c r="B4" i="6"/>
  <c r="B5" i="6"/>
  <c r="B6" i="6"/>
  <c r="B7" i="6"/>
  <c r="B8" i="6"/>
  <c r="B9" i="6"/>
  <c r="B10" i="6"/>
  <c r="B11" i="6"/>
  <c r="B2" i="6"/>
  <c r="AD57" i="2"/>
  <c r="AD58" i="2"/>
  <c r="AD59" i="2"/>
  <c r="AD60" i="2"/>
  <c r="AE57" i="2"/>
  <c r="AE58" i="2"/>
  <c r="AE59" i="2"/>
  <c r="AE60" i="2"/>
  <c r="AD61" i="2"/>
  <c r="AD62" i="2"/>
  <c r="AD63" i="2"/>
  <c r="AD64" i="2"/>
  <c r="AE61" i="2"/>
  <c r="AE62" i="2"/>
  <c r="AE63" i="2"/>
  <c r="AE64" i="2"/>
  <c r="AD65" i="2"/>
  <c r="AD66" i="2"/>
  <c r="AD67" i="2"/>
  <c r="AD68" i="2"/>
  <c r="AE65" i="2"/>
  <c r="AE66" i="2"/>
  <c r="AE67" i="2"/>
  <c r="AE68" i="2"/>
  <c r="AD69" i="2"/>
  <c r="AD70" i="2"/>
  <c r="AD71" i="2"/>
  <c r="AD72" i="2"/>
  <c r="AE69" i="2"/>
  <c r="AE70" i="2"/>
  <c r="AE71" i="2"/>
  <c r="AE72" i="2"/>
  <c r="AD73" i="2"/>
  <c r="AE73" i="2"/>
  <c r="AD74" i="2"/>
  <c r="AE74" i="2"/>
  <c r="AD75" i="2"/>
  <c r="AE75" i="2"/>
  <c r="AD76" i="2"/>
  <c r="AE76" i="2"/>
  <c r="AE19" i="2"/>
  <c r="AE20" i="2"/>
  <c r="AE21" i="2"/>
  <c r="AE22" i="2"/>
  <c r="AE23" i="2"/>
  <c r="AE24" i="2"/>
  <c r="AE25" i="2"/>
  <c r="AE26" i="2"/>
  <c r="AE30" i="2"/>
  <c r="AE27" i="2"/>
  <c r="AE28" i="2"/>
  <c r="AE31" i="2"/>
  <c r="AE32" i="2"/>
  <c r="AE29" i="2"/>
  <c r="AE33" i="2"/>
  <c r="AE34" i="2"/>
  <c r="AE36" i="2"/>
  <c r="AE38" i="2"/>
  <c r="AE35" i="2"/>
  <c r="AE37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4" i="2"/>
  <c r="AE3" i="2"/>
  <c r="AE5" i="2"/>
  <c r="AE7" i="2"/>
  <c r="AE6" i="2"/>
  <c r="AE8" i="2"/>
  <c r="AE9" i="2"/>
  <c r="AE10" i="2"/>
  <c r="AE11" i="2"/>
  <c r="AE12" i="2"/>
  <c r="AE13" i="2"/>
  <c r="AE14" i="2"/>
  <c r="AE15" i="2"/>
  <c r="AE17" i="2"/>
  <c r="AE16" i="2"/>
  <c r="AE18" i="2"/>
  <c r="AE2" i="2"/>
  <c r="O22" i="2"/>
  <c r="S6" i="2"/>
  <c r="B8" i="3"/>
  <c r="AC56" i="2"/>
  <c r="H26" i="2"/>
  <c r="AC26" i="2" s="1"/>
  <c r="H31" i="2"/>
  <c r="L31" i="2" s="1"/>
  <c r="U31" i="2" s="1"/>
  <c r="O31" i="2"/>
  <c r="S31" i="2"/>
  <c r="H46" i="2"/>
  <c r="L46" i="2" s="1"/>
  <c r="O46" i="2"/>
  <c r="S46" i="2"/>
  <c r="H2" i="2"/>
  <c r="L2" i="2" s="1"/>
  <c r="O2" i="2"/>
  <c r="S2" i="2"/>
  <c r="H19" i="2"/>
  <c r="L19" i="2" s="1"/>
  <c r="O19" i="2"/>
  <c r="S19" i="2"/>
  <c r="L36" i="2"/>
  <c r="O36" i="2"/>
  <c r="S36" i="2"/>
  <c r="H30" i="2"/>
  <c r="L30" i="2" s="1"/>
  <c r="O30" i="2"/>
  <c r="S30" i="2"/>
  <c r="L4" i="2"/>
  <c r="O4" i="2"/>
  <c r="S4" i="2"/>
  <c r="H7" i="2"/>
  <c r="L7" i="2" s="1"/>
  <c r="O7" i="2"/>
  <c r="S7" i="2"/>
  <c r="H17" i="2"/>
  <c r="L17" i="2" s="1"/>
  <c r="O17" i="2"/>
  <c r="S17" i="2"/>
  <c r="H32" i="2"/>
  <c r="L32" i="2" s="1"/>
  <c r="O32" i="2"/>
  <c r="S32" i="2"/>
  <c r="H38" i="2"/>
  <c r="L38" i="2" s="1"/>
  <c r="O38" i="2"/>
  <c r="S38" i="2"/>
  <c r="H43" i="2"/>
  <c r="L43" i="2" s="1"/>
  <c r="O43" i="2"/>
  <c r="S43" i="2"/>
  <c r="H33" i="2"/>
  <c r="L33" i="2" s="1"/>
  <c r="O33" i="2"/>
  <c r="S33" i="2"/>
  <c r="H18" i="2"/>
  <c r="L18" i="2" s="1"/>
  <c r="O18" i="2"/>
  <c r="S18" i="2"/>
  <c r="H8" i="2"/>
  <c r="L8" i="2" s="1"/>
  <c r="O8" i="2"/>
  <c r="S8" i="2"/>
  <c r="H14" i="2"/>
  <c r="L14" i="2" s="1"/>
  <c r="O14" i="2"/>
  <c r="S14" i="2"/>
  <c r="H12" i="2"/>
  <c r="L12" i="2" s="1"/>
  <c r="O12" i="2"/>
  <c r="S12" i="2"/>
  <c r="H13" i="2"/>
  <c r="L13" i="2" s="1"/>
  <c r="O13" i="2"/>
  <c r="S13" i="2"/>
  <c r="H27" i="2"/>
  <c r="L27" i="2" s="1"/>
  <c r="O27" i="2"/>
  <c r="S27" i="2"/>
  <c r="H24" i="2"/>
  <c r="L24" i="2" s="1"/>
  <c r="O24" i="2"/>
  <c r="S24" i="2"/>
  <c r="H21" i="2"/>
  <c r="L21" i="2" s="1"/>
  <c r="O21" i="2"/>
  <c r="S21" i="2"/>
  <c r="H25" i="2"/>
  <c r="L25" i="2" s="1"/>
  <c r="O25" i="2"/>
  <c r="S25" i="2"/>
  <c r="H40" i="2"/>
  <c r="L40" i="2" s="1"/>
  <c r="O40" i="2"/>
  <c r="S40" i="2"/>
  <c r="H3" i="2"/>
  <c r="L3" i="2" s="1"/>
  <c r="O3" i="2"/>
  <c r="S3" i="2"/>
  <c r="H51" i="2"/>
  <c r="L51" i="2" s="1"/>
  <c r="O51" i="2"/>
  <c r="S51" i="2"/>
  <c r="H39" i="2"/>
  <c r="L39" i="2" s="1"/>
  <c r="O39" i="2"/>
  <c r="S39" i="2"/>
  <c r="H35" i="2"/>
  <c r="L35" i="2" s="1"/>
  <c r="O35" i="2"/>
  <c r="S35" i="2"/>
  <c r="H45" i="2"/>
  <c r="L45" i="2" s="1"/>
  <c r="O45" i="2"/>
  <c r="S45" i="2"/>
  <c r="H9" i="2"/>
  <c r="L9" i="2" s="1"/>
  <c r="O9" i="2"/>
  <c r="S9" i="2"/>
  <c r="H49" i="2"/>
  <c r="L49" i="2" s="1"/>
  <c r="O49" i="2"/>
  <c r="S49" i="2"/>
  <c r="H53" i="2"/>
  <c r="L53" i="2" s="1"/>
  <c r="O53" i="2"/>
  <c r="S53" i="2"/>
  <c r="H16" i="2"/>
  <c r="L16" i="2" s="1"/>
  <c r="O16" i="2"/>
  <c r="S16" i="2"/>
  <c r="H6" i="2"/>
  <c r="L6" i="2" s="1"/>
  <c r="O6" i="2"/>
  <c r="H50" i="2"/>
  <c r="L50" i="2" s="1"/>
  <c r="O50" i="2"/>
  <c r="S50" i="2"/>
  <c r="H22" i="2"/>
  <c r="L22" i="2" s="1"/>
  <c r="S22" i="2"/>
  <c r="H15" i="2"/>
  <c r="L15" i="2" s="1"/>
  <c r="O15" i="2"/>
  <c r="S15" i="2"/>
  <c r="L56" i="2"/>
  <c r="O56" i="2"/>
  <c r="S56" i="2"/>
  <c r="H11" i="2"/>
  <c r="L11" i="2" s="1"/>
  <c r="O11" i="2"/>
  <c r="S11" i="2"/>
  <c r="H55" i="2"/>
  <c r="L55" i="2" s="1"/>
  <c r="O55" i="2"/>
  <c r="S55" i="2"/>
  <c r="H29" i="2"/>
  <c r="L29" i="2" s="1"/>
  <c r="O29" i="2"/>
  <c r="S29" i="2"/>
  <c r="H52" i="2"/>
  <c r="L52" i="2" s="1"/>
  <c r="O52" i="2"/>
  <c r="S52" i="2"/>
  <c r="H23" i="2"/>
  <c r="L23" i="2" s="1"/>
  <c r="U23" i="2" s="1"/>
  <c r="O23" i="2"/>
  <c r="S23" i="2"/>
  <c r="H54" i="2"/>
  <c r="L54" i="2" s="1"/>
  <c r="O54" i="2"/>
  <c r="S54" i="2"/>
  <c r="H44" i="2"/>
  <c r="L44" i="2" s="1"/>
  <c r="U44" i="2" s="1"/>
  <c r="O44" i="2"/>
  <c r="S44" i="2"/>
  <c r="H10" i="2"/>
  <c r="L10" i="2" s="1"/>
  <c r="O10" i="2"/>
  <c r="S10" i="2"/>
  <c r="H47" i="2"/>
  <c r="L47" i="2" s="1"/>
  <c r="O47" i="2"/>
  <c r="S47" i="2"/>
  <c r="H34" i="2"/>
  <c r="L34" i="2" s="1"/>
  <c r="O34" i="2"/>
  <c r="S34" i="2"/>
  <c r="H5" i="2"/>
  <c r="L5" i="2" s="1"/>
  <c r="U5" i="2" s="1"/>
  <c r="O5" i="2"/>
  <c r="S5" i="2"/>
  <c r="H48" i="2"/>
  <c r="L48" i="2" s="1"/>
  <c r="O48" i="2"/>
  <c r="S48" i="2"/>
  <c r="H20" i="2"/>
  <c r="L20" i="2" s="1"/>
  <c r="U20" i="2" s="1"/>
  <c r="O20" i="2"/>
  <c r="S20" i="2"/>
  <c r="S37" i="2"/>
  <c r="O37" i="2"/>
  <c r="H37" i="2"/>
  <c r="L37" i="2" s="1"/>
  <c r="S41" i="2"/>
  <c r="O41" i="2"/>
  <c r="H41" i="2"/>
  <c r="L41" i="2" s="1"/>
  <c r="U41" i="2" s="1"/>
  <c r="S26" i="2"/>
  <c r="O26" i="2"/>
  <c r="S28" i="2"/>
  <c r="O28" i="2"/>
  <c r="H28" i="2"/>
  <c r="L28" i="2" s="1"/>
  <c r="S42" i="2"/>
  <c r="O42" i="2"/>
  <c r="H42" i="2"/>
  <c r="L42" i="2" s="1"/>
  <c r="D2" i="7" l="1"/>
  <c r="E2" i="7" a="1"/>
  <c r="E2" i="7" s="1"/>
  <c r="B2" i="7"/>
  <c r="C2" i="7"/>
  <c r="AD55" i="2"/>
  <c r="AD6" i="2"/>
  <c r="AD51" i="2"/>
  <c r="AD12" i="2"/>
  <c r="AD10" i="2"/>
  <c r="AD52" i="2"/>
  <c r="AD27" i="2"/>
  <c r="AD38" i="2"/>
  <c r="AD45" i="2"/>
  <c r="AD15" i="2"/>
  <c r="AD20" i="2"/>
  <c r="AD23" i="2"/>
  <c r="AD17" i="2"/>
  <c r="AD48" i="2"/>
  <c r="AD54" i="2"/>
  <c r="AD56" i="2"/>
  <c r="AD50" i="2"/>
  <c r="AD53" i="2"/>
  <c r="AD40" i="2"/>
  <c r="AD8" i="2"/>
  <c r="AD4" i="2"/>
  <c r="AD5" i="2"/>
  <c r="AD24" i="2"/>
  <c r="AD43" i="2"/>
  <c r="AD19" i="2"/>
  <c r="AD31" i="2"/>
  <c r="AC18" i="2"/>
  <c r="AC43" i="2"/>
  <c r="AD42" i="2"/>
  <c r="AD37" i="2"/>
  <c r="AD47" i="2"/>
  <c r="AD29" i="2"/>
  <c r="AD39" i="2"/>
  <c r="AD13" i="2"/>
  <c r="AD32" i="2"/>
  <c r="AD46" i="2"/>
  <c r="AD41" i="2"/>
  <c r="AD9" i="2"/>
  <c r="AD21" i="2"/>
  <c r="AD33" i="2"/>
  <c r="AD36" i="2"/>
  <c r="AD28" i="2"/>
  <c r="AD49" i="2"/>
  <c r="AD25" i="2"/>
  <c r="AD18" i="2"/>
  <c r="AD30" i="2"/>
  <c r="AC55" i="2"/>
  <c r="AD22" i="2"/>
  <c r="AC29" i="2"/>
  <c r="AD34" i="2"/>
  <c r="AD44" i="2"/>
  <c r="AD11" i="2"/>
  <c r="AD16" i="2"/>
  <c r="AD35" i="2"/>
  <c r="AD3" i="2"/>
  <c r="AD14" i="2"/>
  <c r="AD7" i="2"/>
  <c r="AD2" i="2"/>
  <c r="AC14" i="2"/>
  <c r="AC33" i="2"/>
  <c r="AC49" i="2"/>
  <c r="AC45" i="2"/>
  <c r="AC35" i="2"/>
  <c r="AC39" i="2"/>
  <c r="AC8" i="2"/>
  <c r="AC9" i="2"/>
  <c r="AC52" i="2"/>
  <c r="AC38" i="2"/>
  <c r="AC51" i="2"/>
  <c r="AC32" i="2"/>
  <c r="AC3" i="2"/>
  <c r="AC15" i="2"/>
  <c r="T6" i="2"/>
  <c r="W6" i="2" s="1"/>
  <c r="AC11" i="2"/>
  <c r="AC12" i="2"/>
  <c r="AC53" i="2"/>
  <c r="AC22" i="2"/>
  <c r="AC50" i="2"/>
  <c r="AC6" i="2"/>
  <c r="AC16" i="2"/>
  <c r="AC40" i="2"/>
  <c r="AC25" i="2"/>
  <c r="AC21" i="2"/>
  <c r="AC24" i="2"/>
  <c r="AC27" i="2"/>
  <c r="AC13" i="2"/>
  <c r="AC54" i="2"/>
  <c r="AC2" i="2"/>
  <c r="AC17" i="2"/>
  <c r="AC5" i="2"/>
  <c r="AC19" i="2"/>
  <c r="AC4" i="2"/>
  <c r="AC42" i="2"/>
  <c r="AC31" i="2"/>
  <c r="AC47" i="2"/>
  <c r="L26" i="2"/>
  <c r="V26" i="2" s="1"/>
  <c r="AC28" i="2"/>
  <c r="AC48" i="2"/>
  <c r="AC36" i="2"/>
  <c r="AC37" i="2"/>
  <c r="AC46" i="2"/>
  <c r="AC41" i="2"/>
  <c r="AC23" i="2"/>
  <c r="AC34" i="2"/>
  <c r="AC7" i="2"/>
  <c r="AC44" i="2"/>
  <c r="AC20" i="2"/>
  <c r="AC10" i="2"/>
  <c r="AC30" i="2"/>
  <c r="T46" i="2"/>
  <c r="W46" i="2" s="1"/>
  <c r="T31" i="2"/>
  <c r="W31" i="2" s="1"/>
  <c r="T47" i="2"/>
  <c r="W47" i="2" s="1"/>
  <c r="T13" i="2"/>
  <c r="W13" i="2" s="1"/>
  <c r="T14" i="2"/>
  <c r="W14" i="2" s="1"/>
  <c r="T44" i="2"/>
  <c r="W44" i="2" s="1"/>
  <c r="T30" i="2"/>
  <c r="W30" i="2" s="1"/>
  <c r="V14" i="2"/>
  <c r="T38" i="2"/>
  <c r="W38" i="2" s="1"/>
  <c r="T4" i="2"/>
  <c r="W4" i="2" s="1"/>
  <c r="V30" i="2"/>
  <c r="V19" i="2"/>
  <c r="U14" i="2"/>
  <c r="T19" i="2"/>
  <c r="W19" i="2" s="1"/>
  <c r="V13" i="2"/>
  <c r="T54" i="2"/>
  <c r="W54" i="2" s="1"/>
  <c r="T2" i="2"/>
  <c r="W2" i="2" s="1"/>
  <c r="T26" i="2"/>
  <c r="T51" i="2"/>
  <c r="W51" i="2" s="1"/>
  <c r="T20" i="2"/>
  <c r="W20" i="2" s="1"/>
  <c r="V43" i="2"/>
  <c r="V17" i="2"/>
  <c r="T28" i="2"/>
  <c r="W28" i="2" s="1"/>
  <c r="T43" i="2"/>
  <c r="W43" i="2" s="1"/>
  <c r="T17" i="2"/>
  <c r="W17" i="2" s="1"/>
  <c r="T40" i="2"/>
  <c r="W40" i="2" s="1"/>
  <c r="V18" i="2"/>
  <c r="T55" i="2"/>
  <c r="W55" i="2" s="1"/>
  <c r="T9" i="2"/>
  <c r="W9" i="2" s="1"/>
  <c r="V4" i="2"/>
  <c r="T42" i="2"/>
  <c r="W42" i="2" s="1"/>
  <c r="T5" i="2"/>
  <c r="W5" i="2" s="1"/>
  <c r="T29" i="2"/>
  <c r="W29" i="2" s="1"/>
  <c r="T11" i="2"/>
  <c r="W11" i="2" s="1"/>
  <c r="T15" i="2"/>
  <c r="W15" i="2" s="1"/>
  <c r="T50" i="2"/>
  <c r="W50" i="2" s="1"/>
  <c r="T16" i="2"/>
  <c r="W16" i="2" s="1"/>
  <c r="T49" i="2"/>
  <c r="W49" i="2" s="1"/>
  <c r="T45" i="2"/>
  <c r="W45" i="2" s="1"/>
  <c r="T39" i="2"/>
  <c r="W39" i="2" s="1"/>
  <c r="T3" i="2"/>
  <c r="W3" i="2" s="1"/>
  <c r="T25" i="2"/>
  <c r="W25" i="2" s="1"/>
  <c r="T24" i="2"/>
  <c r="W24" i="2" s="1"/>
  <c r="U13" i="2"/>
  <c r="V38" i="2"/>
  <c r="T52" i="2"/>
  <c r="W52" i="2" s="1"/>
  <c r="T22" i="2"/>
  <c r="W22" i="2" s="1"/>
  <c r="T53" i="2"/>
  <c r="W53" i="2" s="1"/>
  <c r="T35" i="2"/>
  <c r="W35" i="2" s="1"/>
  <c r="T27" i="2"/>
  <c r="W27" i="2" s="1"/>
  <c r="T8" i="2"/>
  <c r="W8" i="2" s="1"/>
  <c r="U18" i="2"/>
  <c r="T56" i="2"/>
  <c r="W56" i="2" s="1"/>
  <c r="T21" i="2"/>
  <c r="W21" i="2" s="1"/>
  <c r="T10" i="2"/>
  <c r="W10" i="2" s="1"/>
  <c r="T48" i="2"/>
  <c r="W48" i="2" s="1"/>
  <c r="T34" i="2"/>
  <c r="W34" i="2" s="1"/>
  <c r="V29" i="2"/>
  <c r="V11" i="2"/>
  <c r="V15" i="2"/>
  <c r="V50" i="2"/>
  <c r="V16" i="2"/>
  <c r="V49" i="2"/>
  <c r="V45" i="2"/>
  <c r="V39" i="2"/>
  <c r="V3" i="2"/>
  <c r="V25" i="2"/>
  <c r="V24" i="2"/>
  <c r="T18" i="2"/>
  <c r="W18" i="2" s="1"/>
  <c r="U19" i="2"/>
  <c r="U17" i="2"/>
  <c r="T23" i="2"/>
  <c r="W23" i="2" s="1"/>
  <c r="T37" i="2"/>
  <c r="W37" i="2" s="1"/>
  <c r="U52" i="2"/>
  <c r="V52" i="2"/>
  <c r="U55" i="2"/>
  <c r="V55" i="2"/>
  <c r="AF55" i="2" s="1"/>
  <c r="U56" i="2"/>
  <c r="V56" i="2"/>
  <c r="U22" i="2"/>
  <c r="V22" i="2"/>
  <c r="U6" i="2"/>
  <c r="V6" i="2"/>
  <c r="AF6" i="2" s="1"/>
  <c r="U53" i="2"/>
  <c r="V53" i="2"/>
  <c r="U9" i="2"/>
  <c r="V9" i="2"/>
  <c r="U35" i="2"/>
  <c r="V35" i="2"/>
  <c r="U51" i="2"/>
  <c r="V51" i="2"/>
  <c r="U40" i="2"/>
  <c r="V40" i="2"/>
  <c r="U21" i="2"/>
  <c r="V21" i="2"/>
  <c r="U27" i="2"/>
  <c r="V27" i="2"/>
  <c r="U33" i="2"/>
  <c r="V33" i="2"/>
  <c r="U7" i="2"/>
  <c r="V7" i="2"/>
  <c r="U46" i="2"/>
  <c r="V46" i="2"/>
  <c r="T33" i="2"/>
  <c r="W33" i="2" s="1"/>
  <c r="T7" i="2"/>
  <c r="W7" i="2" s="1"/>
  <c r="U49" i="2"/>
  <c r="U45" i="2"/>
  <c r="U39" i="2"/>
  <c r="U3" i="2"/>
  <c r="U25" i="2"/>
  <c r="U24" i="2"/>
  <c r="U38" i="2"/>
  <c r="U30" i="2"/>
  <c r="T12" i="2"/>
  <c r="W12" i="2" s="1"/>
  <c r="T32" i="2"/>
  <c r="W32" i="2" s="1"/>
  <c r="T36" i="2"/>
  <c r="W36" i="2" s="1"/>
  <c r="U29" i="2"/>
  <c r="U8" i="2"/>
  <c r="V8" i="2"/>
  <c r="U12" i="2"/>
  <c r="V12" i="2"/>
  <c r="U43" i="2"/>
  <c r="U32" i="2"/>
  <c r="V32" i="2"/>
  <c r="U4" i="2"/>
  <c r="U36" i="2"/>
  <c r="V36" i="2"/>
  <c r="V2" i="2"/>
  <c r="U11" i="2"/>
  <c r="U15" i="2"/>
  <c r="U50" i="2"/>
  <c r="U16" i="2"/>
  <c r="U2" i="2"/>
  <c r="V31" i="2"/>
  <c r="U48" i="2"/>
  <c r="V48" i="2"/>
  <c r="U54" i="2"/>
  <c r="V54" i="2"/>
  <c r="V47" i="2"/>
  <c r="U47" i="2"/>
  <c r="V20" i="2"/>
  <c r="V5" i="2"/>
  <c r="V34" i="2"/>
  <c r="V10" i="2"/>
  <c r="V44" i="2"/>
  <c r="V23" i="2"/>
  <c r="U34" i="2"/>
  <c r="U10" i="2"/>
  <c r="T41" i="2"/>
  <c r="W41" i="2" s="1"/>
  <c r="V28" i="2"/>
  <c r="U28" i="2"/>
  <c r="U42" i="2"/>
  <c r="U37" i="2"/>
  <c r="V42" i="2"/>
  <c r="V37" i="2"/>
  <c r="V41" i="2"/>
  <c r="AF4" i="2" l="1"/>
  <c r="AF9" i="2"/>
  <c r="AF52" i="2"/>
  <c r="AF51" i="2"/>
  <c r="AF30" i="2"/>
  <c r="AF16" i="2"/>
  <c r="AF38" i="2"/>
  <c r="AF56" i="2"/>
  <c r="AF45" i="2"/>
  <c r="AF35" i="2"/>
  <c r="AF40" i="2"/>
  <c r="AF49" i="2"/>
  <c r="AF14" i="2"/>
  <c r="AF33" i="2"/>
  <c r="AF13" i="2"/>
  <c r="AF39" i="2"/>
  <c r="AD26" i="2"/>
  <c r="B4" i="3" s="1"/>
  <c r="AF21" i="2"/>
  <c r="AF50" i="2"/>
  <c r="AF24" i="2"/>
  <c r="AF15" i="2"/>
  <c r="AF27" i="2"/>
  <c r="AF22" i="2"/>
  <c r="AF11" i="2"/>
  <c r="AF43" i="2"/>
  <c r="AF3" i="2"/>
  <c r="AF29" i="2"/>
  <c r="AF7" i="2"/>
  <c r="AF53" i="2"/>
  <c r="AF8" i="2"/>
  <c r="AF18" i="2"/>
  <c r="AF25" i="2"/>
  <c r="AF12" i="2"/>
  <c r="AF32" i="2"/>
  <c r="AF17" i="2"/>
  <c r="AF36" i="2"/>
  <c r="W26" i="2"/>
  <c r="U26" i="2"/>
  <c r="AF34" i="2"/>
  <c r="AF5" i="2"/>
  <c r="AF2" i="2"/>
  <c r="AF44" i="2"/>
  <c r="AF20" i="2"/>
  <c r="AF31" i="2"/>
  <c r="AF48" i="2"/>
  <c r="AF47" i="2"/>
  <c r="AF46" i="2"/>
  <c r="AF19" i="2"/>
  <c r="AF10" i="2"/>
  <c r="AF42" i="2"/>
  <c r="AF28" i="2"/>
  <c r="AF23" i="2"/>
  <c r="AF54" i="2"/>
  <c r="AF41" i="2"/>
  <c r="AF37" i="2"/>
  <c r="AF26" i="2" l="1"/>
  <c r="AG6" i="2"/>
  <c r="AG11" i="2"/>
  <c r="AG53" i="2"/>
  <c r="AG8" i="2"/>
  <c r="AG22" i="2"/>
  <c r="AG39" i="2"/>
  <c r="AG24" i="2"/>
  <c r="AG15" i="2"/>
  <c r="AG14" i="2"/>
  <c r="AG18" i="2"/>
  <c r="AG55" i="2"/>
  <c r="AG56" i="2"/>
  <c r="AG27" i="2"/>
  <c r="AG35" i="2"/>
  <c r="AG43" i="2"/>
  <c r="AG33" i="2"/>
  <c r="AG40" i="2"/>
  <c r="AG29" i="2"/>
  <c r="AG3" i="2"/>
  <c r="AG49" i="2"/>
  <c r="AG45" i="2"/>
  <c r="AG21" i="2"/>
  <c r="AG13" i="2"/>
  <c r="AG25" i="2"/>
  <c r="AG51" i="2"/>
  <c r="AG12" i="2"/>
  <c r="AG38" i="2"/>
  <c r="AG9" i="2"/>
  <c r="AG50" i="2"/>
  <c r="AG52" i="2"/>
  <c r="AG16" i="2"/>
  <c r="AG32" i="2"/>
  <c r="AG17" i="2"/>
  <c r="AG4" i="2"/>
  <c r="AG30" i="2"/>
  <c r="AG7" i="2"/>
  <c r="AG36" i="2"/>
  <c r="AG44" i="2"/>
  <c r="AG54" i="2"/>
  <c r="AG46" i="2"/>
  <c r="AG23" i="2"/>
  <c r="AG47" i="2"/>
  <c r="AG20" i="2"/>
  <c r="AG28" i="2"/>
  <c r="AG10" i="2"/>
  <c r="AG37" i="2"/>
  <c r="AG19" i="2"/>
  <c r="AG48" i="2"/>
  <c r="AG5" i="2"/>
  <c r="AG26" i="2"/>
  <c r="AG31" i="2"/>
  <c r="AG42" i="2"/>
  <c r="B5" i="3"/>
  <c r="AG41" i="2"/>
  <c r="AG2" i="2"/>
  <c r="AG34" i="2"/>
  <c r="G17" i="3" l="1"/>
  <c r="C20" i="3"/>
  <c r="F17" i="3"/>
  <c r="H20" i="3"/>
  <c r="G14" i="3"/>
  <c r="E20" i="3"/>
  <c r="B20" i="3"/>
  <c r="B13" i="3"/>
  <c r="G18" i="3"/>
  <c r="B16" i="3"/>
  <c r="C11" i="3"/>
  <c r="H19" i="3"/>
  <c r="B18" i="3"/>
  <c r="H18" i="3"/>
  <c r="E18" i="3"/>
  <c r="E14" i="3"/>
  <c r="D19" i="3"/>
  <c r="H16" i="3"/>
  <c r="G11" i="3"/>
  <c r="B6" i="3"/>
  <c r="B19" i="3"/>
  <c r="C18" i="3"/>
  <c r="E11" i="3"/>
  <c r="C14" i="3"/>
  <c r="G19" i="3"/>
  <c r="H15" i="3"/>
  <c r="G20" i="3"/>
  <c r="C17" i="3"/>
  <c r="E13" i="3"/>
  <c r="F18" i="3"/>
  <c r="G15" i="3"/>
  <c r="H17" i="3"/>
  <c r="G16" i="3"/>
  <c r="F19" i="3"/>
  <c r="G13" i="3"/>
  <c r="C16" i="3"/>
  <c r="C12" i="3"/>
  <c r="E15" i="3"/>
  <c r="D20" i="3"/>
  <c r="F15" i="3"/>
  <c r="B14" i="3"/>
  <c r="B17" i="3"/>
  <c r="B11" i="3"/>
  <c r="B7" i="3"/>
  <c r="H11" i="3"/>
  <c r="C19" i="3"/>
  <c r="D17" i="3"/>
  <c r="E19" i="3"/>
  <c r="D11" i="3"/>
  <c r="E12" i="3"/>
  <c r="D13" i="3"/>
  <c r="B12" i="3"/>
  <c r="F20" i="3"/>
  <c r="F16" i="3"/>
  <c r="F11" i="3"/>
  <c r="G12" i="3"/>
  <c r="F13" i="3"/>
  <c r="H12" i="3"/>
  <c r="D14" i="3"/>
  <c r="D12" i="3"/>
  <c r="E17" i="3"/>
  <c r="D16" i="3"/>
  <c r="H13" i="3"/>
  <c r="E16" i="3"/>
  <c r="F14" i="3"/>
  <c r="F12" i="3"/>
  <c r="B15" i="3"/>
  <c r="D18" i="3"/>
  <c r="C15" i="3"/>
  <c r="C13" i="3"/>
  <c r="H14" i="3"/>
  <c r="D1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<sst xmlns="http://schemas.openxmlformats.org/spreadsheetml/2006/main" count="605" uniqueCount="248">
  <si>
    <t>PlySpy: 3-ply delivered toilet paper value tracker</t>
  </si>
  <si>
    <t>How to use this workbook</t>
  </si>
  <si>
    <t>1</t>
  </si>
  <si>
    <t>Enter products on the Listings sheet. The workbook only ranks products where ply = 3, in_stock = Yes, delivery_available = Yes, and sheet count is known.</t>
  </si>
  <si>
    <t>2</t>
  </si>
  <si>
    <t>Use 'Standalone order' when toilet paper is the only item being delivered. Use 'Grocery add-on' when you were already doing a grocery shop and delivery should not be counted.</t>
  </si>
  <si>
    <t>3</t>
  </si>
  <si>
    <t>The Dashboard pulls the top 10 by adjusted_value_score. Lower score = better value.</t>
  </si>
  <si>
    <t>4</t>
  </si>
  <si>
    <t>No dynamic array formulas are used, so this version should open cleanly in Excel for Mac/Windows.</t>
  </si>
  <si>
    <t>5</t>
  </si>
  <si>
    <t>For real comparisons, replace the demo rows with actual product listings and source URLs.</t>
  </si>
  <si>
    <t>date_checked</t>
  </si>
  <si>
    <t>retailer</t>
  </si>
  <si>
    <t>product_name</t>
  </si>
  <si>
    <t>url</t>
  </si>
  <si>
    <t>pack_price</t>
  </si>
  <si>
    <t>member_price</t>
  </si>
  <si>
    <t>effective_price</t>
  </si>
  <si>
    <t>delivery_mode</t>
  </si>
  <si>
    <t>delivery_fee</t>
  </si>
  <si>
    <t>small_order_charge</t>
  </si>
  <si>
    <t>delivered_price</t>
  </si>
  <si>
    <t>rolls_per_pack</t>
  </si>
  <si>
    <t>sheets_per_roll</t>
  </si>
  <si>
    <t>total_sheets</t>
  </si>
  <si>
    <t>ply</t>
  </si>
  <si>
    <t>sheet_width_mm</t>
  </si>
  <si>
    <t>sheet_length_mm</t>
  </si>
  <si>
    <t>sheet_area_m2</t>
  </si>
  <si>
    <t>total_area_m2</t>
  </si>
  <si>
    <t>price_per_roll</t>
  </si>
  <si>
    <t>price_per_100_sheets</t>
  </si>
  <si>
    <t>price_per_m2</t>
  </si>
  <si>
    <t>rating</t>
  </si>
  <si>
    <t>review_count</t>
  </si>
  <si>
    <t>in_stock</t>
  </si>
  <si>
    <t>delivery_available</t>
  </si>
  <si>
    <t>data_confidence</t>
  </si>
  <si>
    <t>include_status</t>
  </si>
  <si>
    <t>quality_multiplier</t>
  </si>
  <si>
    <t>adjusted_value_score</t>
  </si>
  <si>
    <t>rank</t>
  </si>
  <si>
    <t>notes</t>
  </si>
  <si>
    <t>Standalone order</t>
  </si>
  <si>
    <t>Yes</t>
  </si>
  <si>
    <t>High</t>
  </si>
  <si>
    <t>Grocery add-on</t>
  </si>
  <si>
    <t>Medium</t>
  </si>
  <si>
    <t>Top 10 included listings by adjusted value score. Lower score = better value.</t>
  </si>
  <si>
    <t>Included listings</t>
  </si>
  <si>
    <t>Best score</t>
  </si>
  <si>
    <t>Best product</t>
  </si>
  <si>
    <t>Best retailer</t>
  </si>
  <si>
    <t>Last updated</t>
  </si>
  <si>
    <t>Formula note</t>
  </si>
  <si>
    <t>This file avoids FILTER, SORT, UNIQUE, LET, XLOOKUP and other newer dynamic formulas. It uses INDEX/MATCH, RANK.EQ, COUNTIF and IFERROR to reduce Excel repair issues.</t>
  </si>
  <si>
    <t>default_delivery_fee</t>
  </si>
  <si>
    <t>minimum_order_value</t>
  </si>
  <si>
    <t>source_url</t>
  </si>
  <si>
    <t>Amazon</t>
  </si>
  <si>
    <t>Fill with your actual Prime/Subscribe &amp; Save assumptions.</t>
  </si>
  <si>
    <t>Tesco</t>
  </si>
  <si>
    <t>Use standalone only if you are ordering toilet paper alone; otherwise use grocery add-on.</t>
  </si>
  <si>
    <t>Asda</t>
  </si>
  <si>
    <t>Add delivery/minimum basket rules if using grocery delivery.</t>
  </si>
  <si>
    <t>Sainsbury's</t>
  </si>
  <si>
    <t>Add Nectar/member pricing notes if relevant.</t>
  </si>
  <si>
    <t>Ocado</t>
  </si>
  <si>
    <t>Delivery slots can vary; choose a consistent assumption.</t>
  </si>
  <si>
    <t>yes_no</t>
  </si>
  <si>
    <t>Include</t>
  </si>
  <si>
    <t>No</t>
  </si>
  <si>
    <t>Exclude</t>
  </si>
  <si>
    <t>Prorated delivery</t>
  </si>
  <si>
    <t>Low</t>
  </si>
  <si>
    <t>Phoenix Toilet Rolls</t>
  </si>
  <si>
    <t>https://www.amazon.co.uk/Andrex-Ultimate-Standard-Technology-Previously/dp/B0D6NNG1FG/ref=sr_1_2_sspa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sprefix=3%2Bply%2B%2Caps%2C231&amp;sr=8-2-spons&amp;aref=cpWGDE2ycU&amp;sp_csd=d2lkZ2V0TmFtZT1zcF9hdGY&amp;th=1</t>
  </si>
  <si>
    <t>Andrex Ultimate Quilts Toilet Tissue</t>
  </si>
  <si>
    <t>https://www.amazon.co.uk/Presto-Quilted-Toilet-Tissues-Pattern/dp/B08KHBYPJB/ref=sr_1_1_ffob_sspa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rdc=1&amp;sprefix=3%2Bply%2B%2Caps%2C231&amp;sr=8-1-spons&amp;aref=nsaAruaOjI&amp;sp_csd=d2lkZ2V0TmFtZT1zcF9hdGY&amp;th=1</t>
  </si>
  <si>
    <t>by Amazon Super Soft Toilet Tissue</t>
  </si>
  <si>
    <t>Velvet Classic Quilted Toilet Tissue</t>
  </si>
  <si>
    <t>https://www.amazon.co.uk/Triple-Velvet-Jumbo-Roll-Pack/dp/B08HLGKP9J/ref=sr_1_6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rdc=1&amp;sprefix=3%2Bply%2B%2Caps%2C231&amp;sr=8-6&amp;th=1</t>
  </si>
  <si>
    <t>https://www.amazon.co.uk/Regina-Soft-Bamboo-Naturally-Certificated/dp/B0C94XHL5D/ref=sr_1_8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sprefix=3%2Bply%2B%2Caps%2C231&amp;sr=8-8&amp;th=1</t>
  </si>
  <si>
    <t xml:space="preserve">Regina Soft Bamboo </t>
  </si>
  <si>
    <t>https://www.amazon.co.uk/Who-Gives-Crap-Eco-Friendly-Recycled/dp/B07MB5ZZ2Q/ref=sr_1_13_sspa?crid=39Z2ZQYPKD56F&amp;dib=eyJ2IjoiMSJ9.0VrQIYFNkddqjafxnBR4YUpARflxws9qv4GIdcGxlnf1O_12yUDai8SSTxUcgTqQfxxmeegDVzJczEpvCzyDs3Y-PnXzjiGrq46f6qn2KJ0_-8V4aaeXnv0STZK7LKw-olD0Qabt8KXEX2ZFciLnZauSAAfich8Njuv1TzYPG6vpde9sZUAvJiOmcQ3ZhotVJu8dXY8jEYsC5ozBSAKrT5RPPaiKVdv1dnDpC_MyMg_9M1a4xOcR77elQGiZh3F-OePqaMju4FowviGGVVF1RSF0nRsf-u6DdNZR6qSSS20.cfxODHL7nFlggd63AaJRjANbaVdgKaPBOM57-4dX7bM&amp;dib_tag=se&amp;keywords=3%2Bply%2Btoilet%2Brolls&amp;qid=1781196830&amp;sprefix=3%2Bply%2B%2Caps%2C231&amp;sr=8-13-spons&amp;aref=AdkHXAfhK9&amp;sp_csd=d2lkZ2V0TmFtZT1zcF9tdGY&amp;th=1</t>
  </si>
  <si>
    <t>Who Gives A Crap Recycled Toilet Roll</t>
  </si>
  <si>
    <t>Sainsbury's Super Soft Toilet Tissue, Quilted</t>
  </si>
  <si>
    <t>https://www.sainsburys.co.uk/gol-ui/product/sainsburys-super-soft-toilet-tissue-quilted-x9-rolls</t>
  </si>
  <si>
    <t>Cushelle Quilted Toilet Rolls 50% More Sheets x12</t>
  </si>
  <si>
    <t>https://www.sainsburys.co.uk/gol-ui/product/cushelle-quilted-toilet-rolls-50-more-sheets-x12</t>
  </si>
  <si>
    <t>Cushelle Quilted Toilet Roll</t>
  </si>
  <si>
    <t>https://www.asda.com/groceries/product/all-medium-pack-toilet-rolls-8-12-rolls-/cushelle-quilted-toilet-roll-12-rolls-50-more-sheets/9122401</t>
  </si>
  <si>
    <t>Morrisons</t>
  </si>
  <si>
    <t>Dashboard — best-value delivered 3-ply toilet paper</t>
  </si>
  <si>
    <t>https://groceries.morrisons.com/products/elegance-gentle-quilted-toilet-paper-24-pack/113348943</t>
  </si>
  <si>
    <t>Elegance Gentle Quilted Toilet Paper</t>
  </si>
  <si>
    <t>https://www.tesco.com/shop/en-GB/products/321044561?_gl=1*1yrv16d*_up*MQ..*_ga*Njg3NDQwODQyLjE3ODEzMDY1OTI.*_ga_H653QXESTP*czE3ODEzMDY1ODkkbzEkZzAkdDE3ODEzMDY1OTEkajU4JGwwJGg2MzYzNjI3Mjg.*_ga_33B19D36CY*czE3ODEzMDY1OTEkbzEkZzEkdDE3ODEzMDY5NTYkajE1JGwwJGgxNTA2NjcyMjk0</t>
  </si>
  <si>
    <t>Foxy Silk 3ply Toilet Tissue</t>
  </si>
  <si>
    <t>https://www.tesco.com/shop/en-GB/products/312092758?_gl=1*1rvhuv7*_up*MQ..*_ga*Njg3NDQwODQyLjE3ODEzMDY1OTI.*_ga_H653QXESTP*czE3ODEzMDY1ODkkbzEkZzAkdDE3ODEzMDY1OTEkajU4JGwwJGg2MzYzNjI3Mjg.*_ga_33B19D36CY*czE3ODEzMDY1OTEkbzEkZzEkdDE3ODEzMDY3MzckajUyJGwwJGgxNTA2NjcyMjk0</t>
  </si>
  <si>
    <t>Tesco Luxury Soft Quilted Toilet Tissue</t>
  </si>
  <si>
    <t>https://www.tesco.com/shop/en-GB/products/321034855?_gl=1*sk0av2*_up*MQ..*_ga*Njg3NDQwODQyLjE3ODEzMDY1OTI.*_ga_H653QXESTP*czE3ODEzMDY1ODkkbzEkZzAkdDE3ODEzMDY1OTEkajU4JGwwJGg2MzYzNjI3Mjg.*_ga_33B19D36CY*czE3ODEzMDY1OTEkbzEkZzEkdDE3ODEzMDY5MTEkajYwJGwwJGgxNTA2NjcyMjk0</t>
  </si>
  <si>
    <t>Little Duck Supreme Quilted Toilet Tissue</t>
  </si>
  <si>
    <t>https://www.tesco.com/shop/en-GB/products/322263288?_gl=1*1pg7u36*_up*MQ..*_ga*Njg3NDQwODQyLjE3ODEzMDY1OTI.*_ga_H653QXESTP*czE3ODEzMDY1ODkkbzEkZzAkdDE3ODEzMDY1OTEkajU4JGwwJGg2MzYzNjI3Mjg.*_ga_33B19D36CY*czE3ODEzMDY1OTEkbzEkZzEkdDE3ODEzMDY2MTYkajM1JGwwJGgxNTA2NjcyMjk0</t>
  </si>
  <si>
    <t>Who Gives A Crap Extra Soft Limited Edition Toilet Tissue</t>
  </si>
  <si>
    <t>https://www.tesco.com/shop/en-GB/products/330659961?seller=trn:tesco:seller:uuid:3ca332f5-c2df-406a-af90-1e145d277929&amp;_gl=1*1pg7u36*_up*MQ..*_ga*Njg3NDQwODQyLjE3ODEzMDY1OTI.*_ga_H653QXESTP*czE3ODEzMDY1ODkkbzEkZzAkdDE3ODEzMDY1OTEkajU4JGwwJGg2MzYzNjI3Mjg.*_ga_33B19D36CY*czE3ODEzMDY1OTEkbzEkZzEkdDE3ODEzMDY2MTYkajM1JGwwJGgxNTA2NjcyMjk0</t>
  </si>
  <si>
    <t>Freedom Inspirations Quilted Soft White 3 Ply Toilet Paper Roll</t>
  </si>
  <si>
    <t>Tesco Marketplace</t>
  </si>
  <si>
    <t>Splesh Quilted Luna Bloom 3-Ply Luxury Scented Toilet Tissue Paper</t>
  </si>
  <si>
    <t>https://www.tesco.com/shop/en-GB/products/325644633?seller=trn:tesco:seller:uuid:3ca332f5-c2df-406a-af90-1e145d277929&amp;_gl=1*1pg7u36*_up*MQ..*_ga*Njg3NDQwODQyLjE3ODEzMDY1OTI.*_ga_H653QXESTP*czE3ODEzMDY1ODkkbzEkZzAkdDE3ODEzMDY1OTEkajU4JGwwJGg2MzYzNjI3Mjg.*_ga_33B19D36CY*czE3ODEzMDY1OTEkbzEkZzEkdDE3ODEzMDY2MTYkajM1JGwwJGgxNTA2NjcyMjk0</t>
  </si>
  <si>
    <t>Bliss Quilted Toilet Tissue Rolls</t>
  </si>
  <si>
    <t>https://www.tesco.com/shop/en-GB/products/325735848?seller=trn:tesco:seller:uuid:c6a59ebe-f8f7-4a77-8dee-f823a5fc562d&amp;_gl=1*1cdoj0q*_up*MQ..*_ga*Njg3NDQwODQyLjE3ODEzMDY1OTI.*_ga_H653QXESTP*czE3ODEzMDY1ODkkbzEkZzAkdDE3ODEzMDY1OTEkajU4JGwwJGg2MzYzNjI3Mjg.*_ga_33B19D36CY*czE3ODEzMDY1OTEkbzEkZzEkdDE3ODEzMDY2MTYkajM1JGwwJGgxNTA2NjcyMjk0</t>
  </si>
  <si>
    <t>Aldi</t>
  </si>
  <si>
    <t>https://www.aldi.co.uk/product/saxon-premium-toilet-paper-12-pack-000000000000632047</t>
  </si>
  <si>
    <t>Saxon Premium Toilet Paper</t>
  </si>
  <si>
    <t>https://www.aldi.co.uk/product/saxon-quilted-toilet-paper-9-pack-000000000000648727</t>
  </si>
  <si>
    <t>Saxon Quilted Toilet Paper</t>
  </si>
  <si>
    <t>https://www.ocado.com/products/ocado-luxury-quilted-toilet-tissue/307866011?srsltid=AfmBOop1BrCzk_THczs3V1DdVV0DjzxzhU_nl26rkzPZ0MY3_pV-L8FF</t>
  </si>
  <si>
    <t>Ocado Luxury Quilted Toilet Tissue</t>
  </si>
  <si>
    <t>Velvet Classic Quilted Toilet Rolls</t>
  </si>
  <si>
    <t>https://www.ocado.com/products/velvet-classic-quilted-toilet-rolls/520831011?srsltid=AfmBOorZoSGu1fwrE36YBEOmI0VNS-qP6Tj_4hmBriJ8VPmDqeIfXAER</t>
  </si>
  <si>
    <t>https://home.bargains/product/661dc0c2-2147-4d26-ad99-1334b3c19db4/nicky-elite-quilted-3-ply-toilet-rolls-64-pack-delivery-included?qid=f75f1b64a41775a62f475de1c55991cc</t>
  </si>
  <si>
    <t>Nicky Elite Quilted 3 Ply Toilet Rolls 64 Pack</t>
  </si>
  <si>
    <t>Home Bargains</t>
  </si>
  <si>
    <t>https://home.bargains/product/82ee3af9-627d-4995-9914-a93fa929d359/premium-comfy-soft-quilted-3-ply-toilet-tissue-24-rolls-x3-delivery-included?qid=f75f1b64a41775a62f475de1c55991cc</t>
  </si>
  <si>
    <t>Nicky Elite Quilted 3 Ply Toilet Rolls 18 Pack x4</t>
  </si>
  <si>
    <t>https://home.bargains/product/9cec7f2d-557e-48ac-9f68-2d007f1e470d/nicky-elite-quilted-3-ply-toilet-rolls-18-pack-x4-delivery-included?qid=f75f1b64a41775a62f475de1c55991cc</t>
  </si>
  <si>
    <t>brand</t>
  </si>
  <si>
    <t>Saxon</t>
  </si>
  <si>
    <t>Nicky</t>
  </si>
  <si>
    <t>Little Duck</t>
  </si>
  <si>
    <t>Elegance</t>
  </si>
  <si>
    <t>Freedom</t>
  </si>
  <si>
    <t>Velvet Classic</t>
  </si>
  <si>
    <t>Splesh</t>
  </si>
  <si>
    <t>Who Gives A Crap</t>
  </si>
  <si>
    <t>Regina</t>
  </si>
  <si>
    <t>Andrex</t>
  </si>
  <si>
    <t>Cushelle</t>
  </si>
  <si>
    <t>Bliss</t>
  </si>
  <si>
    <t>Foxy Silk</t>
  </si>
  <si>
    <t>Premium Comfy</t>
  </si>
  <si>
    <t>total_sheets_source</t>
  </si>
  <si>
    <t>last_verified</t>
  </si>
  <si>
    <t>Premium Comfy Soft Quilted 3 Ply Toilet Tissue</t>
  </si>
  <si>
    <t>Direct</t>
  </si>
  <si>
    <t>Calculated</t>
  </si>
  <si>
    <t>Unknown</t>
  </si>
  <si>
    <t>Costco</t>
  </si>
  <si>
    <t>Kirkland Signature Triple Satin 3-Ply Toilet Tissue</t>
  </si>
  <si>
    <t>Kirkland</t>
  </si>
  <si>
    <t>https://www.costco.co.uk/Business-Office-Supplies/Cleaning-Care/Paper-Products-Tissues-Wipes/Kirkland-Signature-Triple-Satin-3-Ply-Toilet-Tissue-40-Rolls/p/1128517?srsltid=AfmBOoqmYlXRPLWT0RYbbH9VTMf5uvK_Cg43AuXnsoffz-WebjWHKLNg</t>
  </si>
  <si>
    <t>Cushelle Quilted 3-Ply Longer Rolls Toilet Tissue</t>
  </si>
  <si>
    <t>https://www.costco.co.uk/Business-Office-Supplies/Cleaning-Care/Paper-Products-Tissues-Wipes/Cushelle-Quilted-3-Ply-Longer-Rolls-Toilet-Tissue-4-x-8-Pack-236-Sheets/p/477796</t>
  </si>
  <si>
    <t>Phoenix</t>
  </si>
  <si>
    <t>https://www.amazon.co.uk/Phoenix-Supreme-Luxury-Toilet-Rolls/dp/B0BGT6WZYZ/ref=sxin_11_pa_sp_search_thematic_sspa?content-id=amzn1.sym.eb8a2e41-041d-4ab3-bd78-08246275f894%3Aamzn1.sym.eb8a2e41-041d-4ab3-bd78-08246275f894&amp;cv_ct_cx=toilet%2Brolls%2B3ply&amp;keywords=toilet%2Brolls%2B3ply&amp;pd_rd_i=B0BGT6WZYZ&amp;pd_rd_r=f0428668-d3cf-4e15-97ef-cf24bc2f1421&amp;pd_rd_w=Nr7Fy&amp;pd_rd_wg=UGclu&amp;pf_rd_p=eb8a2e41-041d-4ab3-bd78-08246275f894&amp;pf_rd_r=X7B60P4ED0BWN59HGRMK&amp;qid=1781348685&amp;sbo=RZvfv%2F%2FHxDF%2BO5021pAnSA%3D%3D&amp;sr=1-3-ad3222ed-9545-4dc8-8dd8-6b2cb5278509-spons&amp;aref=f42Oiui4ln&amp;sp_csd=d2lkZ2V0TmFtZT1zcF9zZWFyY2hfdGhlbWF0aWM&amp;th=1</t>
  </si>
  <si>
    <t>Splesh by Cusheen 3-ply Toilet Roll</t>
  </si>
  <si>
    <t>https://www.amazon.co.uk/gp/aw/d/B06WD1FD7Y/?_encoding=UTF8&amp;pd_rd_plhdr=t&amp;aaxitk=101b04a4f3fb704f0d23b387fae62410&amp;hsa_cr_id=0&amp;qid=1781348685&amp;sr=1-1-1ee1b2e4-01d1-4cd0-b737-4c27ebfc8105&amp;aref=frIjszFI2Q&amp;ref_=sbx__sbtcd2_asin_0_img&amp;pf_rd_p=ad0b5640-22e8-4858-8c86-e8809057e952&amp;pf_rd_r=X7B60P4ED0BWN59HGRMK&amp;pd_rd_wg=UGclu&amp;pd_rd_w=GRWHU&amp;content-id=amzn1.sym.ad0b5640-22e8-4858-8c86-e8809057e952%3Aamzn1.sym.ad0b5640-22e8-4858-8c86-e8809057e952&amp;pd_rd_r=f0428668-d3cf-4e15-97ef-cf24bc2f1421&amp;th=1</t>
  </si>
  <si>
    <t>by Amazon Toilet Roll</t>
  </si>
  <si>
    <t>https://www.amazon.co.uk/Amazon-Brand-Presto-Toilet-Tissues/dp/B08JDBBL9T/ref=sr_1_11_ffob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+rolls+3ply&amp;qid=1781348685&amp;rdc=1&amp;sr=8-11-spons&amp;aref=JmmPoa8Lx4&amp;sp_csd=d2lkZ2V0TmFtZT1zcF9tdGY&amp;psc=1</t>
  </si>
  <si>
    <t>Serenity Toilet Tissue</t>
  </si>
  <si>
    <t>https://www.amazon.co.uk/Serenity-Quilted-Luxuriously-Hypoallergenic-Sustainable/dp/B0DZ18FKFY/ref=sr_1_13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-13-spons&amp;aref=rwCRoscNUH&amp;sp_csd=d2lkZ2V0TmFtZT1zcF9tdGY&amp;th=1</t>
  </si>
  <si>
    <t>Serenity</t>
  </si>
  <si>
    <t>DHANZIPAK Premium Quilted Toilet Paper</t>
  </si>
  <si>
    <t>DHANZIPAK</t>
  </si>
  <si>
    <t>https://www.amazon.co.uk/DHANZIPAK-Premium-Generous-Luxuriously-Absorbent/dp/B0DVRMTRPS/ref=sr_1_20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+rolls+3ply&amp;qid=1781348685&amp;sr=8-20-spons&amp;aref=USNn1RsYDR&amp;sp_csd=d2lkZ2V0TmFtZT1zcF9tdGY&amp;psc=1</t>
  </si>
  <si>
    <t xml:space="preserve">Softesse Toilet Paper </t>
  </si>
  <si>
    <t>Softesse</t>
  </si>
  <si>
    <t>https://www.amazon.co.uk/Softesse-Toilet-Luxuriously-Hypoallergenic-Sustainable/dp/B0DWT6GRRM/ref=sr_1_22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-22&amp;th=1</t>
  </si>
  <si>
    <t>Panda Cuddle 3‑Ply Quilted Toilet Paper</t>
  </si>
  <si>
    <t>Panda</t>
  </si>
  <si>
    <t>https://www.amazon.co.uk/Panda-Cuddle-3%E2%80%91Ply-Quilted-Toilet/dp/B0F8S37RGW/ref=sr_1_28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-28&amp;th=1</t>
  </si>
  <si>
    <t>by Amazon Mega Toilet Roll</t>
  </si>
  <si>
    <t>http://amazon.co.uk/Amazon-Toilet-Rolls-Coconut-Sheets/dp/B0DSX5ZGSW/ref=sr_1_31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rdc=1&amp;sr=8-31&amp;th=1</t>
  </si>
  <si>
    <t>Regina Gentle Soft Toilet Tissue</t>
  </si>
  <si>
    <t>https://www.amazon.co.uk/Regina-Gentle-Soft-Toilet-Tissue/dp/B0D986KBXQ/ref=sr_1_41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-41&amp;th=1</t>
  </si>
  <si>
    <t>Elegance Feather Soft Toilet Roll</t>
  </si>
  <si>
    <t>https://www.amazon.co.uk/Elegance-Feather-Soft-Toilet-Roll/dp/B09HN3DPM7/ref=sr_1_53?dib=eyJ2IjoiMSJ9.nXBnNjeF16M4nsl9eEL0oGARWN62HpptKIf3Evt45TLYLzWAe2Ia4SBaEoQE3m0ZCSEC3ZAdclnGN3VZVjEDsLN7olk95VSUBkM_oaV0VVY.ZA0NA1gOjeR1KMpxlTrecq1BHx250pbYygGh43JvK88&amp;dib_tag=se&amp;keywords=toilet+rolls+3ply&amp;qid=1781348762&amp;xpid=FjHbdT4PCS1_n</t>
  </si>
  <si>
    <t>evoXL Luxury 3-Ply Toilet Tissue</t>
  </si>
  <si>
    <t>evoXL</t>
  </si>
  <si>
    <t>https://www.amazon.co.uk/evoXL-Luxury-3-Ply-Toilet-Tissue/dp/B0G1CPJN6T/ref=sr_1_53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</si>
  <si>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Selpak Professional Toilet Paper</t>
  </si>
  <si>
    <t>Selpak</t>
  </si>
  <si>
    <t>https://www.amazon.co.uk/Selpak-Professional-Toilet-Rolls-Bulk/dp/B0C2CFGZNP/ref=sr_1_58_sspa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&amp;aref=EGnNyTzyvH&amp;sp_csd=d2lkZ2V0TmFtZT1zcF9tdGY&amp;psc=1</t>
  </si>
  <si>
    <t>Lusheen Soft Quilted Toilet Rolls Bulk Buy</t>
  </si>
  <si>
    <t>Lusheen</t>
  </si>
  <si>
    <t>https://www.amazon.co.uk/Lusheen-Soft-Quilted-Toilet-Rolls/dp/B0FS1XXWCP/ref=sr_1_62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</si>
  <si>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Pure Boo® Unbleached Bamboo Toilet Rolls</t>
  </si>
  <si>
    <t>Pure Boo</t>
  </si>
  <si>
    <t>https://www.amazon.co.uk/Pure-Unbleached-Bamboo-Toilet-Rolls/dp/B0FG1PK84T/ref=sr_1_65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</si>
  <si>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Bumboo Bamboo Toilet Roll</t>
  </si>
  <si>
    <t>Bumboo</t>
  </si>
  <si>
    <t>https://www.amazon.co.uk/dp/B09WVYMR24/ref=sspa_dk_detail_1?pd_rd_i=B09WVYMR24&amp;pd_rd_w=lnCKy&amp;content-id=amzn1.sym.26d398c2-a8df-41ee-9d9d-c3349e39be31&amp;pf_rd_p=26d398c2-a8df-41ee-9d9d-c3349e39be31&amp;pf_rd_r=GTC9WXNA42F1ES3YNCX0&amp;pd_rd_wg=RNjXf&amp;pd_rd_r=6aadc25d-ada7-4c6f-86f8-b0cf7d521915&amp;aref=f6hlqn2wtK&amp;sp_csd=d2lkZ2V0TmFtZT1zcF9kZXRhaWxfdGhlbWF0aWM&amp;th=1</t>
  </si>
  <si>
    <t>careBee</t>
  </si>
  <si>
    <t>careBee Bamboo Toilet Rolls</t>
  </si>
  <si>
    <t>https://www.amazon.co.uk/dp/B0H1M8DVH7/ref=sspa_dk_detail_3?pd_rd_i=B0H1M8DVH7&amp;pd_rd_w=lnCKy&amp;content-id=amzn1.sym.26d398c2-a8df-41ee-9d9d-c3349e39be31&amp;pf_rd_p=26d398c2-a8df-41ee-9d9d-c3349e39be31&amp;pf_rd_r=GTC9WXNA42F1ES3YNCX0&amp;pd_rd_wg=RNjXf&amp;pd_rd_r=6aadc25d-ada7-4c6f-86f8-b0cf7d521915&amp;aref=Ib9fwHGvQr&amp;sp_csd=d2lkZ2V0TmFtZT1zcF9kZXRhaWxfdGhlbWF0aWM&amp;th=1</t>
  </si>
  <si>
    <t>Bumboo Bamboo Toilet Roll English Delft Edition</t>
  </si>
  <si>
    <t>https://www.amazon.co.uk/dp/B0FNX5RLY2/ref=sspa_dk_detail_2?pd_rd_i=B0FNX5RLY2&amp;pd_rd_w=lnCKy&amp;content-id=amzn1.sym.26d398c2-a8df-41ee-9d9d-c3349e39be31&amp;pf_rd_p=26d398c2-a8df-41ee-9d9d-c3349e39be31&amp;pf_rd_r=GTC9WXNA42F1ES3YNCX0&amp;pd_rd_wg=RNjXf&amp;pd_rd_r=6aadc25d-ada7-4c6f-86f8-b0cf7d521915&amp;aref=nEIOL3HRgB&amp;sp_csd=d2lkZ2V0TmFtZT1zcF9kZXRhaWxfdGhlbWF0aWM&amp;th=1</t>
  </si>
  <si>
    <t>Tork 110782 extra soft toilet rolls</t>
  </si>
  <si>
    <t>Tork</t>
  </si>
  <si>
    <t>https://www.amazon.co.uk/Tork-110782-premium-quality-tear-resistant/dp/B001IVMZJE/ref=sr_1_69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</si>
  <si>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Softlux Toilet Rolls</t>
  </si>
  <si>
    <t>Softlux</t>
  </si>
  <si>
    <t>https://www.amazon.co.uk/Softlux-Toilet-Embossed-Quilted-Unscented/dp/B0GMJZL6T8/ref=sr_1_84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</si>
  <si>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>Blake &amp; White Purely Smile 3 Ply Soft Toilet Rolls</t>
  </si>
  <si>
    <t>Blake &amp; White</t>
  </si>
  <si>
    <t>https://www.amazon.co.uk/Blake-White-Purely-PS1125-Certified/dp/B082XPDSGJ/ref=sr_1_88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rdc=1&amp;xpid=FjHbdT4PCS1_n</t>
  </si>
  <si>
    <t>AmazonCommercial Toilet Roll</t>
  </si>
  <si>
    <t xml:space="preserve">Amazon </t>
  </si>
  <si>
    <t>https://www.amazon.co.uk/AmazonCommercial-Premium-Toilet-Tissue-rolls/dp/B08C61HFLD/ref=sr_1_91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%2Brolls%2B3ply&amp;qid=1781348762&amp;rdc=1&amp;xpid=FjHbdT4PCS1_n&amp;th=1</t>
  </si>
  <si>
    <t>Serenity Toilet Rolls</t>
  </si>
  <si>
    <t>https://www.amazon.co.uk/dp/B0F9X2GWGG/ref=sspa_dk_detail_3?pd_rd_i=B0F9X2GWGG&amp;pd_rd_w=YFjNz&amp;content-id=amzn1.sym.2f04b396-4cf6-4c10-837f-e222197e3b38&amp;pf_rd_p=2f04b396-4cf6-4c10-837f-e222197e3b38&amp;pf_rd_r=ZNA7W733GQ76FAY9A47Y&amp;pd_rd_wg=KCuZj&amp;pd_rd_r=9a025201-41a8-4ecb-8339-9caf239e3056&amp;aref=GjSls8fb7p&amp;sp_csd=d2lkZ2V0TmFtZT1zcF9kZXRhaWxfdGhlbWF0aWM&amp;th=1</t>
  </si>
  <si>
    <t>Scott® Control™ Small Roll Toilet Tissue 8558</t>
  </si>
  <si>
    <t>Scott® Control™</t>
  </si>
  <si>
    <t>https://www.amazon.co.uk/dp/B0CXYB15V4/ref=sspa_dk_detail_2?pd_rd_i=B0CXYB15V4&amp;pd_rd_w=YFjNz&amp;content-id=amzn1.sym.2f04b396-4cf6-4c10-837f-e222197e3b38&amp;pf_rd_p=2f04b396-4cf6-4c10-837f-e222197e3b38&amp;pf_rd_r=ZNA7W733GQ76FAY9A47Y&amp;pd_rd_wg=KCuZj&amp;pd_rd_r=9a025201-41a8-4ecb-8339-9caf239e3056&amp;aref=BGvMMu0noK&amp;sp_csd=d2lkZ2V0TmFtZT1zcF9kZXRhaWxfdGhlbWF0aWM&amp;th=1</t>
  </si>
  <si>
    <t>value plus</t>
  </si>
  <si>
    <t>https://www.amazon.co.uk/Value-Plus-Quilted-Embossed-Bathroom/dp/B0FX51C56S/ref=sr_1_94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t>
  </si>
  <si>
    <t xml:space="preserve">Gentille Quilted Bathroom Tissue Rolls </t>
  </si>
  <si>
    <t>https://www.amazon.co.uk/Gentille-Quilted-Bathroom-Tissue-Sustainable/dp/B0DRSXS64G/ref=sr_1_104?dib=eyJ2IjoiMSJ9.L9V_5TPJj1d4Orl59f-a3Fd0aTJAM1y3O1UF7rTtnme-gEqQjNRgrOFGqESwcK11bhQYxPuRD1DzPbhGgnzjtvvIquUXRxFuklmhVjoW5p4.nD_ubALX6aBUq8d0NaOShgAoWRurMYzFndWPIWVNtSg&amp;dib_tag=se&amp;keywords=toilet%2Brolls%2B3ply&amp;qid=1781537902&amp;xpid=FjHbdT4PCS1_n&amp;th=1</t>
  </si>
  <si>
    <t>Gentille</t>
  </si>
  <si>
    <t>Morrisons Even Softer Quilted Comfort Tissue</t>
  </si>
  <si>
    <t>https://www.amazon.co.uk/Morrisons-Softer-Quilted-Comfort-Tissue/dp/B01N6NJ6HY/ref=sr_1_101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%2Brolls%2B3ply&amp;qid=1781537902&amp;xpid=FjHbdT4PCS1_n&amp;th=1</t>
  </si>
  <si>
    <t>Eloquence Super Soft Luxuriously Quilted Toilet Tissue Rolls</t>
  </si>
  <si>
    <t>value plus Quilted &amp; Embossed Toilet Paper with Coconut</t>
  </si>
  <si>
    <t>Eloquence</t>
  </si>
  <si>
    <t>https://www.amazon.co.uk/Eloquence-Luxuriously-Carefully-Manufactured-Certified/dp/B0GCWW9SLH/ref=sr_1_104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t>
  </si>
  <si>
    <t>Kleenex Toilet Roll</t>
  </si>
  <si>
    <t>Kleenex</t>
  </si>
  <si>
    <t>https://www.amazon.co.uk/Kleenex-Premium-8484-Toilet-quilted/dp/B00QX8YKCC/ref=sr_1_106_sspa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%2Brolls%2B3ply&amp;qid=1781537902&amp;xpid=FjHbdT4PCS1_n&amp;aref=AElhydRHrG&amp;sp_csd=d2lkZ2V0TmFtZT1zcF9tdGY&amp;th=1</t>
  </si>
  <si>
    <t>Bumboo Essentials Toilet Roll 48 Pack</t>
  </si>
  <si>
    <t>https://www.amazon.co.uk/Bumboo-Wrapped-Plastic-Free-Eco-Friendly-Biodegradable/dp/B0CVQVHBH6/ref=sr_1_113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t>
  </si>
  <si>
    <t>Karrma 3 Ply Quilted Toilet Tissues Rolls</t>
  </si>
  <si>
    <t>Karrma</t>
  </si>
  <si>
    <t>https://www.amazon.co.uk/Quilted-Toilet-Tissues-Sustainable-Bathroom/dp/B0BL3S5P7G/ref=sr_1_125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t>
  </si>
  <si>
    <t>Retailer</t>
  </si>
  <si>
    <t xml:space="preserve"> Product Count</t>
  </si>
  <si>
    <t>Best Score</t>
  </si>
  <si>
    <t>Average Score</t>
  </si>
  <si>
    <t>Best Product</t>
  </si>
  <si>
    <t>Brand</t>
  </si>
  <si>
    <t>Product Count</t>
  </si>
  <si>
    <t>category</t>
  </si>
  <si>
    <t>best overall</t>
  </si>
  <si>
    <t>best amazon option</t>
  </si>
  <si>
    <t>best supermarket</t>
  </si>
  <si>
    <t>best bulk buy</t>
  </si>
  <si>
    <t>best premium option</t>
  </si>
  <si>
    <t>avoid / poor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</si>
</sst>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£0.00"/>
    <numFmt numFmtId="166" formatCode="0.0000"/>
    <numFmt numFmtId="167" formatCode="0.0"/>
    <numFmt numFmtId="168" formatCode="0.000"/>
    <numFmt numFmtId="169" formatCode="dd/mm/yyyy;@"/>
  </numFmts>
  <fonts count="11">
    <font>
      <sz val="11"/>
      <name val="Carlito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1F7"/>
      </patternFill>
    </fill>
    <fill>
      <patternFill patternType="solid">
        <fgColor rgb="FFFCE7F3"/>
      </patternFill>
    </fill>
    <fill>
      <patternFill patternType="solid">
        <fgColor rgb="FFFFFFFF"/>
      </patternFill>
    </fill>
    <fill>
      <patternFill patternType="solid">
        <fgColor rgb="FFFB99B9"/>
        <bgColor indexed="64"/>
      </patternFill>
    </fill>
    <fill>
      <patternFill patternType="solid">
        <fgColor rgb="FFFFDEE6"/>
        <bgColor indexed="64"/>
      </patternFill>
    </fill>
    <fill>
      <patternFill patternType="solid">
        <fgColor rgb="FFFFE1E7"/>
        <bgColor indexed="64"/>
      </patternFill>
    </fill>
    <fill>
      <patternFill patternType="solid">
        <fgColor rgb="FFFFECEF"/>
        <bgColor rgb="FFFFECE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2" fillId="0" borderId="0" xfId="0" applyFont="1"/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16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166" fontId="4" fillId="0" borderId="1" xfId="0" applyNumberFormat="1" applyFont="1" applyBorder="1" applyAlignment="1">
      <alignment wrapText="1"/>
    </xf>
    <xf numFmtId="167" fontId="4" fillId="0" borderId="1" xfId="0" applyNumberFormat="1" applyFont="1" applyBorder="1" applyAlignment="1">
      <alignment wrapText="1"/>
    </xf>
    <xf numFmtId="168" fontId="4" fillId="0" borderId="1" xfId="0" applyNumberFormat="1" applyFont="1" applyBorder="1" applyAlignment="1">
      <alignment wrapText="1"/>
    </xf>
    <xf numFmtId="0" fontId="4" fillId="0" borderId="1" xfId="0" applyFont="1" applyBorder="1"/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/>
    <xf numFmtId="0" fontId="1" fillId="6" borderId="0" xfId="0" applyFont="1" applyFill="1" applyAlignment="1">
      <alignment horizontal="left" vertical="center" wrapText="1"/>
    </xf>
    <xf numFmtId="0" fontId="2" fillId="6" borderId="0" xfId="0" applyFont="1" applyFill="1"/>
    <xf numFmtId="169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168" fontId="3" fillId="5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1" xfId="0" applyFont="1" applyBorder="1"/>
    <xf numFmtId="169" fontId="5" fillId="0" borderId="3" xfId="0" applyNumberFormat="1" applyFont="1" applyBorder="1"/>
    <xf numFmtId="0" fontId="5" fillId="0" borderId="3" xfId="0" applyFont="1" applyBorder="1"/>
    <xf numFmtId="168" fontId="5" fillId="0" borderId="3" xfId="0" applyNumberFormat="1" applyFont="1" applyBorder="1"/>
    <xf numFmtId="0" fontId="4" fillId="0" borderId="6" xfId="0" applyFont="1" applyBorder="1"/>
    <xf numFmtId="0" fontId="6" fillId="0" borderId="1" xfId="0" applyFont="1" applyBorder="1"/>
    <xf numFmtId="0" fontId="6" fillId="8" borderId="1" xfId="0" applyFont="1" applyFill="1" applyBorder="1"/>
    <xf numFmtId="0" fontId="7" fillId="3" borderId="0" xfId="0" applyFont="1" applyFill="1" applyAlignment="1">
      <alignment horizontal="center" vertical="center" wrapText="1"/>
    </xf>
    <xf numFmtId="0" fontId="4" fillId="0" borderId="0" xfId="0" applyFont="1"/>
    <xf numFmtId="0" fontId="4" fillId="7" borderId="0" xfId="0" applyFont="1" applyFill="1" applyAlignment="1">
      <alignment wrapText="1"/>
    </xf>
    <xf numFmtId="0" fontId="3" fillId="5" borderId="0" xfId="0" applyFont="1" applyFill="1" applyAlignment="1">
      <alignment horizontal="left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wrapText="1"/>
    </xf>
    <xf numFmtId="0" fontId="4" fillId="0" borderId="0" xfId="0" applyFont="1"/>
    <xf numFmtId="0" fontId="8" fillId="5" borderId="3" xfId="0" applyFont="1" applyFill="1" applyBorder="1" applyAlignment="1">
      <alignment horizontal="center" vertical="center" wrapText="1"/>
    </xf>
    <xf numFmtId="0" fontId="9" fillId="0" borderId="0" xfId="0" applyFont="1"/>
    <xf numFmtId="0" fontId="9" fillId="4" borderId="3" xfId="0" applyFont="1" applyFill="1" applyBorder="1" applyAlignment="1">
      <alignment wrapText="1"/>
    </xf>
    <xf numFmtId="164" fontId="9" fillId="4" borderId="3" xfId="0" applyNumberFormat="1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164" fontId="9" fillId="6" borderId="3" xfId="0" applyNumberFormat="1" applyFont="1" applyFill="1" applyBorder="1" applyAlignment="1">
      <alignment wrapText="1"/>
    </xf>
    <xf numFmtId="164" fontId="9" fillId="0" borderId="0" xfId="0" applyNumberFormat="1" applyFont="1"/>
    <xf numFmtId="0" fontId="3" fillId="5" borderId="3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6" borderId="3" xfId="0" applyFont="1" applyFill="1" applyBorder="1"/>
    <xf numFmtId="0" fontId="10" fillId="5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168" fontId="5" fillId="4" borderId="0" xfId="0" applyNumberFormat="1" applyFont="1" applyFill="1" applyAlignment="1">
      <alignment horizontal="left" vertical="center" wrapText="1"/>
    </xf>
    <xf numFmtId="14" fontId="5" fillId="4" borderId="0" xfId="0" applyNumberFormat="1" applyFont="1" applyFill="1" applyAlignment="1">
      <alignment horizontal="left" vertical="center" wrapText="1"/>
    </xf>
    <xf numFmtId="0" fontId="5" fillId="4" borderId="3" xfId="0" applyFont="1" applyFill="1" applyBorder="1" applyAlignment="1">
      <alignment wrapText="1"/>
    </xf>
    <xf numFmtId="168" fontId="5" fillId="4" borderId="3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168" fontId="5" fillId="6" borderId="3" xfId="0" applyNumberFormat="1" applyFont="1" applyFill="1" applyBorder="1" applyAlignment="1">
      <alignment wrapText="1"/>
    </xf>
    <xf numFmtId="0" fontId="5" fillId="6" borderId="8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168" fontId="5" fillId="6" borderId="4" xfId="0" applyNumberFormat="1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168" fontId="5" fillId="0" borderId="1" xfId="0" applyNumberFormat="1" applyFont="1" applyBorder="1" applyAlignment="1">
      <alignment wrapText="1"/>
    </xf>
    <xf numFmtId="169" fontId="4" fillId="0" borderId="1" xfId="0" applyNumberFormat="1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/>
    <xf numFmtId="164" fontId="4" fillId="0" borderId="1" xfId="0" applyNumberFormat="1" applyFont="1" applyFill="1" applyBorder="1" applyAlignment="1">
      <alignment wrapText="1"/>
    </xf>
    <xf numFmtId="1" fontId="4" fillId="0" borderId="1" xfId="0" applyNumberFormat="1" applyFont="1" applyFill="1" applyBorder="1" applyAlignment="1">
      <alignment wrapText="1"/>
    </xf>
    <xf numFmtId="166" fontId="4" fillId="0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wrapText="1"/>
    </xf>
    <xf numFmtId="167" fontId="4" fillId="0" borderId="1" xfId="0" applyNumberFormat="1" applyFont="1" applyFill="1" applyBorder="1" applyAlignment="1">
      <alignment wrapText="1"/>
    </xf>
    <xf numFmtId="168" fontId="4" fillId="0" borderId="1" xfId="0" applyNumberFormat="1" applyFont="1" applyFill="1" applyBorder="1" applyAlignment="1">
      <alignment wrapText="1"/>
    </xf>
    <xf numFmtId="164" fontId="4" fillId="6" borderId="3" xfId="0" applyNumberFormat="1" applyFont="1" applyFill="1" applyBorder="1" applyAlignment="1">
      <alignment wrapText="1"/>
    </xf>
    <xf numFmtId="0" fontId="5" fillId="0" borderId="0" xfId="0" applyFont="1"/>
    <xf numFmtId="0" fontId="5" fillId="5" borderId="0" xfId="0" applyFont="1" applyFill="1" applyAlignment="1">
      <alignment horizontal="center" vertical="center"/>
    </xf>
    <xf numFmtId="0" fontId="5" fillId="0" borderId="0" xfId="0" applyFont="1" applyAlignment="1"/>
    <xf numFmtId="0" fontId="4" fillId="8" borderId="13" xfId="0" applyFont="1" applyFill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3" xfId="0" applyFont="1" applyFill="1" applyBorder="1" applyAlignment="1">
      <alignment wrapText="1"/>
    </xf>
  </cellXfs>
  <cellStyles count="1">
    <cellStyle name="Normal" xfId="0" builtinId="0"/>
  </cellStyles>
  <dxfs count="75"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B99B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rgb="FFFFECEF"/>
          <bgColor rgb="FFFFECE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FB99B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B99B9"/>
        </patternFill>
      </fill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168" formatCode="0.00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\£0.0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9" formatCode="dd/mm/yyyy;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/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8" formatCode="0.000"/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FDEE6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FB99B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9.9978637043366805E-2"/>
        </left>
        <right style="thin">
          <color theme="2" tint="-9.9978637043366805E-2"/>
        </right>
        <top/>
        <bottom/>
      </border>
    </dxf>
    <dxf>
      <border outline="0">
        <top style="thin">
          <color theme="2" tint="-9.9978637043366805E-2"/>
        </top>
      </border>
    </dxf>
    <dxf>
      <border outline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</border>
    </dxf>
    <dxf>
      <border outline="0">
        <bottom style="thin">
          <color theme="2" tint="-9.9978637043366805E-2"/>
        </bottom>
      </border>
    </dxf>
    <dxf>
      <fill>
        <patternFill patternType="solid">
          <fgColor rgb="FFFFECEF"/>
          <bgColor rgb="FFFFECEF"/>
        </patternFill>
      </fill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fill>
        <patternFill>
          <fgColor rgb="FFFB99B9"/>
        </patternFill>
      </fill>
      <border>
        <bottom style="thin">
          <color theme="1"/>
        </bottom>
      </border>
    </dxf>
    <dxf>
      <font>
        <color theme="1"/>
      </font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ill>
        <patternFill>
          <fgColor rgb="FFFFECEF"/>
        </patternFill>
      </fill>
    </dxf>
  </dxfs>
  <tableStyles count="2" defaultTableStyle="Table Style 1" defaultPivotStyle="PivotStyleLight16">
    <tableStyle name="Table Style 1" pivot="0" count="1" xr9:uid="{DBDB26F6-3EE6-A945-A460-0DA1340B98C7}">
      <tableStyleElement type="firstRowStripe" dxfId="74"/>
    </tableStyle>
    <tableStyle name="TableStyleLight1 2" pivot="0" count="5" xr9:uid="{D0134D1E-FFA3-C74F-98CD-586EFB188B00}">
      <tableStyleElement type="wholeTable" dxfId="73"/>
      <tableStyleElement type="headerRow" dxfId="72"/>
      <tableStyleElement type="totalRow" dxfId="71"/>
      <tableStyleElement type="firstColumn" dxfId="70"/>
      <tableStyleElement type="firstRowStripe" dxfId="69"/>
    </tableStyle>
  </tableStyles>
  <colors>
    <mruColors>
      <color rgb="FFFB99B9"/>
      <color rgb="FFF979A7"/>
      <color rgb="FFFBCEE5"/>
      <color rgb="FFFF999B"/>
      <color rgb="FFC07171"/>
      <color rgb="FFFFECEF"/>
      <color rgb="FFFFDEE6"/>
      <color rgb="FFFFE1E7"/>
      <color rgb="FFFFD6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ingsTable" displayName="ListingsTable" ref="A1:AI76" headerRowDxfId="20" dataDxfId="18" totalsRowDxfId="19">
  <autoFilter ref="A1:AI76" xr:uid="{00000000-000C-0000-FFFF-FFFF00000000}"/>
  <sortState xmlns:xlrd2="http://schemas.microsoft.com/office/spreadsheetml/2017/richdata2" ref="A2:AI76">
    <sortCondition ref="AF1:AF76"/>
  </sortState>
  <tableColumns count="35">
    <tableColumn id="1" xr3:uid="{00000000-0010-0000-0000-000001000000}" name="date_checked" dataDxfId="55"/>
    <tableColumn id="2" xr3:uid="{00000000-0010-0000-0000-000002000000}" name="retailer" dataDxfId="54"/>
    <tableColumn id="3" xr3:uid="{00000000-0010-0000-0000-000003000000}" name="product_name" dataDxfId="53"/>
    <tableColumn id="33" xr3:uid="{9A328C39-176E-5B4E-BBE6-C61B3036DA8D}" name="brand" dataDxfId="52"/>
    <tableColumn id="4" xr3:uid="{00000000-0010-0000-0000-000004000000}" name="url" dataDxfId="51"/>
    <tableColumn id="5" xr3:uid="{00000000-0010-0000-0000-000005000000}" name="pack_price" dataDxfId="50"/>
    <tableColumn id="6" xr3:uid="{00000000-0010-0000-0000-000006000000}" name="member_price" dataDxfId="49"/>
    <tableColumn id="7" xr3:uid="{00000000-0010-0000-0000-000007000000}" name="effective_price" dataDxfId="48"/>
    <tableColumn id="8" xr3:uid="{00000000-0010-0000-0000-000008000000}" name="delivery_mode" dataDxfId="47"/>
    <tableColumn id="9" xr3:uid="{00000000-0010-0000-0000-000009000000}" name="delivery_fee" dataDxfId="46"/>
    <tableColumn id="10" xr3:uid="{00000000-0010-0000-0000-00000A000000}" name="small_order_charge" dataDxfId="45"/>
    <tableColumn id="11" xr3:uid="{00000000-0010-0000-0000-00000B000000}" name="delivered_price" dataDxfId="44"/>
    <tableColumn id="12" xr3:uid="{00000000-0010-0000-0000-00000C000000}" name="rolls_per_pack" dataDxfId="43"/>
    <tableColumn id="13" xr3:uid="{00000000-0010-0000-0000-00000D000000}" name="sheets_per_roll" dataDxfId="42"/>
    <tableColumn id="14" xr3:uid="{00000000-0010-0000-0000-00000E000000}" name="total_sheets" dataDxfId="41"/>
    <tableColumn id="15" xr3:uid="{00000000-0010-0000-0000-00000F000000}" name="ply" dataDxfId="40"/>
    <tableColumn id="16" xr3:uid="{00000000-0010-0000-0000-000010000000}" name="sheet_width_mm" dataDxfId="39"/>
    <tableColumn id="17" xr3:uid="{00000000-0010-0000-0000-000011000000}" name="sheet_length_mm" dataDxfId="38"/>
    <tableColumn id="18" xr3:uid="{00000000-0010-0000-0000-000012000000}" name="sheet_area_m2" dataDxfId="37"/>
    <tableColumn id="19" xr3:uid="{00000000-0010-0000-0000-000013000000}" name="total_area_m2" dataDxfId="36"/>
    <tableColumn id="20" xr3:uid="{00000000-0010-0000-0000-000014000000}" name="price_per_roll" dataDxfId="35"/>
    <tableColumn id="21" xr3:uid="{00000000-0010-0000-0000-000015000000}" name="price_per_100_sheets" dataDxfId="34"/>
    <tableColumn id="22" xr3:uid="{00000000-0010-0000-0000-000016000000}" name="price_per_m2" dataDxfId="33"/>
    <tableColumn id="23" xr3:uid="{00000000-0010-0000-0000-000017000000}" name="rating" dataDxfId="32"/>
    <tableColumn id="24" xr3:uid="{00000000-0010-0000-0000-000018000000}" name="review_count" dataDxfId="31"/>
    <tableColumn id="25" xr3:uid="{00000000-0010-0000-0000-000019000000}" name="in_stock" dataDxfId="30"/>
    <tableColumn id="26" xr3:uid="{00000000-0010-0000-0000-00001A000000}" name="delivery_available" dataDxfId="29"/>
    <tableColumn id="34" xr3:uid="{8B299F6E-A886-0449-B2A1-9F9BE88EDC73}" name="total_sheets_source" dataDxfId="28"/>
    <tableColumn id="27" xr3:uid="{00000000-0010-0000-0000-00001B000000}" name="data_confidence" dataDxfId="27"/>
    <tableColumn id="28" xr3:uid="{00000000-0010-0000-0000-00001C000000}" name="include_status" dataDxfId="26">
      <calculatedColumnFormula>IF(AND(P2&gt;=3,Z2="Yes",AA2="Yes",O2&lt;&gt;"",L2&lt;&gt;""),"Include","Exclude")</calculatedColumnFormula>
    </tableColumn>
    <tableColumn id="29" xr3:uid="{00000000-0010-0000-0000-00001D000000}" name="quality_multiplier" dataDxfId="25">
      <calculatedColumnFormula>IF(A2="","",IF(OR(ListingsTable[[#This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calculatedColumnFormula>
    </tableColumn>
    <tableColumn id="30" xr3:uid="{00000000-0010-0000-0000-00001E000000}" name="adjusted_value_score" dataDxfId="24"/>
    <tableColumn id="31" xr3:uid="{00000000-0010-0000-0000-00001F000000}" name="rank" dataDxfId="23"/>
    <tableColumn id="35" xr3:uid="{E9F72B1F-C44D-5C4C-AD93-E43E79FA1D5E}" name="last_verified" dataDxfId="22"/>
    <tableColumn id="32" xr3:uid="{00000000-0010-0000-0000-000020000000}" name="notes" dataDxfId="21"/>
  </tableColumns>
  <tableStyleInfo name="TableStyleLight1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2067-7189-7C46-A6A2-7AE67BAB482F}" name="Table3" displayName="Table3" ref="A1:E11" totalsRowShown="0" headerRowDxfId="17" dataDxfId="11">
  <autoFilter ref="A1:E11" xr:uid="{AD8E2067-7189-7C46-A6A2-7AE67BAB482F}"/>
  <tableColumns count="5">
    <tableColumn id="1" xr3:uid="{FB28ED84-2CC2-1B46-AC13-72E802DFDE36}" name="Retailer" dataDxfId="16"/>
    <tableColumn id="2" xr3:uid="{91B7694B-8CCD-7F41-A314-5EC77061D1C1}" name=" Product Count" dataDxfId="15">
      <calculatedColumnFormula>COUNTIF(Listings!B:B,A2)</calculatedColumnFormula>
    </tableColumn>
    <tableColumn id="3" xr3:uid="{AC3A077C-A473-0148-AE28-1B610C7028D3}" name="Best Score" dataDxfId="14">
      <calculatedColumnFormula>IFERROR(_xlfn.MINIFS(Listings!AF:AF,Listings!B:B,A2,Listings!AD:AD,"Include"),"")</calculatedColumnFormula>
    </tableColumn>
    <tableColumn id="4" xr3:uid="{41E3C72A-1B32-0D4A-8506-60369D6AEE64}" name="Average Score" dataDxfId="13">
      <calculatedColumnFormula>IFERROR(AVERAGEIFS(Listings!AF:AF,Listings!B:B,A2,Listings!AD:AD,"Include"),"")</calculatedColumnFormula>
    </tableColumn>
    <tableColumn id="5" xr3:uid="{80E88464-0CBF-7741-A109-916BE2E38FD5}" name="Best Product" dataDxfId="12">
      <calculatedColumnFormula array="1">IFERROR(INDEX(Listings!C:C,MATCH(1,(Listings!B:B=A2)*(Listings!AF:AF=C2),0)),"")</calculatedColumnFormula>
    </tableColumn>
  </tableColumns>
  <tableStyleInfo name="TableStyleLight1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D84795-660E-1D4A-91B8-806E3BDEAF09}" name="Table5" displayName="Table5" ref="A1:E41" totalsRowShown="0" headerRowDxfId="4" dataDxfId="5">
  <autoFilter ref="A1:E41" xr:uid="{ACD84795-660E-1D4A-91B8-806E3BDEAF09}"/>
  <tableColumns count="5">
    <tableColumn id="1" xr3:uid="{F2C7AE68-4D43-BA43-9B7A-81717442A9FA}" name="Brand" dataDxfId="10"/>
    <tableColumn id="2" xr3:uid="{90A61175-236B-F14A-848F-DC3CC1DACFD4}" name="Product Count" dataDxfId="9">
      <calculatedColumnFormula>COUNTIF(Listings!D:D,A2)</calculatedColumnFormula>
    </tableColumn>
    <tableColumn id="3" xr3:uid="{F68FC80C-0FC6-7644-87DD-703C04F18B29}" name="Best Score" dataDxfId="8">
      <calculatedColumnFormula>IFERROR(_xlfn.MINIFS(Listings!AF:AF,Listings!D:D,A2,Listings!AD:AD,"Include"),"")</calculatedColumnFormula>
    </tableColumn>
    <tableColumn id="4" xr3:uid="{F0A858D7-0F73-AA44-8779-6A95E09184F2}" name="Average Score" dataDxfId="7">
      <calculatedColumnFormula>IFERROR(AVERAGEIFS(Listings!AF:AF,Listings!D:D,A2,Listings!AD:AD,"Include"),"")</calculatedColumnFormula>
    </tableColumn>
    <tableColumn id="5" xr3:uid="{ABB80DE6-01B1-7D45-B238-032BC9D9CB5E}" name="Best Product" dataDxfId="6">
      <calculatedColumnFormula array="1">IFERROR(INDEX(Listings!C:C,MATCH(1,(Listings!D:D=A2)*(Listings!AF:AF=C2),0)),"")</calculatedColumnFormula>
    </tableColumn>
  </tableColumns>
  <tableStyleInfo name="TableStyleLight1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BA47E-A1EA-7446-BE7E-C49B35D23422}" name="Table2" displayName="Table2" ref="A10:H20" totalsRowShown="0" headerRowDxfId="65" dataDxfId="56" headerRowBorderDxfId="68" tableBorderDxfId="67" totalsRowBorderDxfId="66">
  <autoFilter ref="A10:H20" xr:uid="{6BABA47E-A1EA-7446-BE7E-C49B35D23422}"/>
  <tableColumns count="8">
    <tableColumn id="1" xr3:uid="{69B9F4B1-B24A-1547-9DD5-9C35E9A09B46}" name="rank" dataDxfId="64"/>
    <tableColumn id="2" xr3:uid="{AAD791C5-C1C3-3840-AEFC-D040F07A1007}" name="retailer" dataDxfId="63">
      <calculatedColumnFormula>IFERROR(INDEX(Listings!$B$2:$B$76,MATCH($A11,Listings!$AG$2:$AG$76,0)),"")</calculatedColumnFormula>
    </tableColumn>
    <tableColumn id="3" xr3:uid="{671D5D8F-B68C-CC43-9A86-41D4492E98DC}" name="product_name" dataDxfId="62">
      <calculatedColumnFormula>IFERROR(INDEX(Listings!$C$2:$C$76,MATCH($A11,Listings!$AG$2:$AG$76,0)),"")</calculatedColumnFormula>
    </tableColumn>
    <tableColumn id="4" xr3:uid="{CC9093F8-56F5-0940-BAC8-35EC5908E421}" name="delivered_price" dataDxfId="61">
      <calculatedColumnFormula>IFERROR(INDEX(Listings!$L$2:$L$76,MATCH($A11,Listings!$AG$2:$AG$76,0)),"")</calculatedColumnFormula>
    </tableColumn>
    <tableColumn id="5" xr3:uid="{9EB69147-444D-344D-8B64-080AE9D2A91C}" name="price_per_100_sheets" dataDxfId="60">
      <calculatedColumnFormula>IFERROR(INDEX(Listings!$V$2:$V$76,MATCH($A11,Listings!$AG$2:$AG$76,0)),"")</calculatedColumnFormula>
    </tableColumn>
    <tableColumn id="6" xr3:uid="{B9F4072A-A270-6447-825E-28ED0A640101}" name="adjusted_value_score" dataDxfId="59">
      <calculatedColumnFormula>IFERROR(INDEX(Listings!$AF$2:$AF$76,MATCH($A11,Listings!$AG$2:$AG$76,0)),"")</calculatedColumnFormula>
    </tableColumn>
    <tableColumn id="7" xr3:uid="{E2CE805B-613C-D84D-9EBF-80BFC699138E}" name="total_sheets" dataDxfId="58">
      <calculatedColumnFormula>IFERROR(INDEX(Listings!$O$2:$O$76,MATCH($A11,Listings!$AG$2:$AG$76,0)),"")</calculatedColumnFormula>
    </tableColumn>
    <tableColumn id="8" xr3:uid="{FA32D7E4-867E-F646-A22B-F1B40C627368}" name="url" dataDxfId="57">
      <calculatedColumnFormula>IFERROR(INDEX(Listings!$E$2:$E$76,MATCH($A11,Listings!$AG$2:$AG$76,0)),"")</calculatedColumnFormula>
    </tableColumn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A3" sqref="A3:H3"/>
    </sheetView>
  </sheetViews>
  <sheetFormatPr baseColWidth="10" defaultColWidth="8.83203125" defaultRowHeight="15"/>
  <cols>
    <col min="1" max="1" width="8" style="2" customWidth="1"/>
    <col min="2" max="2" width="80" style="2" customWidth="1"/>
    <col min="3" max="16384" width="8.83203125" style="2"/>
  </cols>
  <sheetData>
    <row r="1" spans="1:8" ht="42.75" customHeight="1">
      <c r="A1" s="13" t="s">
        <v>0</v>
      </c>
      <c r="B1" s="13"/>
      <c r="C1" s="14"/>
      <c r="D1" s="14"/>
      <c r="E1" s="14"/>
      <c r="F1" s="14"/>
      <c r="G1" s="14"/>
      <c r="H1" s="14"/>
    </row>
    <row r="2" spans="1:8" ht="29.25" customHeight="1">
      <c r="A2" s="3"/>
      <c r="B2" s="3"/>
    </row>
    <row r="3" spans="1:8" ht="29.25" customHeight="1">
      <c r="A3" s="15" t="s">
        <v>1</v>
      </c>
      <c r="B3" s="15"/>
      <c r="C3" s="16"/>
      <c r="D3" s="16"/>
      <c r="E3" s="16"/>
      <c r="F3" s="16"/>
      <c r="G3" s="16"/>
      <c r="H3" s="16"/>
    </row>
    <row r="4" spans="1:8" ht="29.25" customHeight="1">
      <c r="A4" s="3"/>
      <c r="B4" s="3"/>
    </row>
    <row r="5" spans="1:8" ht="56" customHeight="1">
      <c r="A5" s="1" t="s">
        <v>2</v>
      </c>
      <c r="B5" s="4" t="s">
        <v>3</v>
      </c>
    </row>
    <row r="6" spans="1:8" ht="56" customHeight="1">
      <c r="A6" s="1" t="s">
        <v>4</v>
      </c>
      <c r="B6" s="4" t="s">
        <v>5</v>
      </c>
    </row>
    <row r="7" spans="1:8" ht="56" customHeight="1">
      <c r="A7" s="1" t="s">
        <v>6</v>
      </c>
      <c r="B7" s="4" t="s">
        <v>7</v>
      </c>
    </row>
    <row r="8" spans="1:8" ht="56" customHeight="1">
      <c r="A8" s="1" t="s">
        <v>8</v>
      </c>
      <c r="B8" s="4" t="s">
        <v>9</v>
      </c>
    </row>
    <row r="9" spans="1:8" ht="56" customHeight="1">
      <c r="A9" s="1" t="s">
        <v>10</v>
      </c>
      <c r="B9" s="4" t="s">
        <v>11</v>
      </c>
    </row>
    <row r="10" spans="1:8" ht="29.25" customHeight="1">
      <c r="A10" s="3"/>
      <c r="B10" s="3"/>
    </row>
    <row r="11" spans="1:8" ht="29.25" customHeight="1"/>
    <row r="12" spans="1:8" ht="29.25" customHeight="1"/>
    <row r="13" spans="1:8" ht="29.25" customHeight="1"/>
    <row r="14" spans="1:8" ht="29.25" customHeight="1"/>
    <row r="15" spans="1:8" ht="29.25" customHeight="1"/>
    <row r="16" spans="1:8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</sheetData>
  <mergeCells count="2">
    <mergeCell ref="A1:H1"/>
    <mergeCell ref="A3:H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6"/>
  <sheetViews>
    <sheetView zoomScale="90" zoomScaleNormal="90" workbookViewId="0">
      <pane xSplit="3" ySplit="1" topLeftCell="D2" activePane="bottomRight" state="frozen"/>
      <selection activeCell="A3" sqref="A3:H3"/>
      <selection pane="topRight" activeCell="A3" sqref="A3:H3"/>
      <selection pane="bottomLeft" activeCell="A3" sqref="A3:H3"/>
      <selection pane="bottomRight" activeCell="D2" sqref="D2:D56"/>
    </sheetView>
  </sheetViews>
  <sheetFormatPr baseColWidth="10" defaultColWidth="8.83203125" defaultRowHeight="21"/>
  <cols>
    <col min="1" max="1" width="22.1640625" style="25" customWidth="1"/>
    <col min="2" max="2" width="18" style="26" customWidth="1"/>
    <col min="3" max="3" width="38" style="26" customWidth="1"/>
    <col min="4" max="4" width="20.83203125" style="26" bestFit="1" customWidth="1"/>
    <col min="5" max="5" width="34" style="26" customWidth="1"/>
    <col min="6" max="6" width="11" style="26" customWidth="1"/>
    <col min="7" max="7" width="12" style="26" customWidth="1"/>
    <col min="8" max="8" width="13" style="26" customWidth="1"/>
    <col min="9" max="9" width="17" style="26" customWidth="1"/>
    <col min="10" max="10" width="11" style="26" customWidth="1"/>
    <col min="11" max="11" width="14" style="26" customWidth="1"/>
    <col min="12" max="13" width="12" style="26" customWidth="1"/>
    <col min="14" max="14" width="13" style="26" customWidth="1"/>
    <col min="15" max="15" width="12" style="26" customWidth="1"/>
    <col min="16" max="16" width="5.33203125" style="26" bestFit="1" customWidth="1"/>
    <col min="17" max="18" width="13" style="26" customWidth="1"/>
    <col min="19" max="19" width="12" style="26" customWidth="1"/>
    <col min="20" max="20" width="13" style="26" customWidth="1"/>
    <col min="21" max="21" width="14" style="26" customWidth="1"/>
    <col min="22" max="24" width="15" style="26" customWidth="1"/>
    <col min="25" max="25" width="14" style="26" customWidth="1"/>
    <col min="26" max="28" width="17" style="26" customWidth="1"/>
    <col min="29" max="29" width="14" style="26" customWidth="1"/>
    <col min="30" max="30" width="13" style="26" customWidth="1"/>
    <col min="31" max="31" width="14" style="26" customWidth="1"/>
    <col min="32" max="32" width="13" style="27" customWidth="1"/>
    <col min="33" max="34" width="16" style="27" customWidth="1"/>
    <col min="35" max="35" width="25.1640625" style="26" customWidth="1"/>
    <col min="36" max="16384" width="8.83203125" style="26"/>
  </cols>
  <sheetData>
    <row r="1" spans="1:35" s="23" customFormat="1" ht="40" customHeight="1">
      <c r="A1" s="17" t="s">
        <v>12</v>
      </c>
      <c r="B1" s="18" t="s">
        <v>13</v>
      </c>
      <c r="C1" s="19" t="s">
        <v>14</v>
      </c>
      <c r="D1" s="58" t="s">
        <v>127</v>
      </c>
      <c r="E1" s="20" t="s">
        <v>15</v>
      </c>
      <c r="F1" s="21" t="s">
        <v>16</v>
      </c>
      <c r="G1" s="18" t="s">
        <v>17</v>
      </c>
      <c r="H1" s="18" t="s">
        <v>18</v>
      </c>
      <c r="I1" s="18" t="s">
        <v>19</v>
      </c>
      <c r="J1" s="18" t="s">
        <v>20</v>
      </c>
      <c r="K1" s="18" t="s">
        <v>21</v>
      </c>
      <c r="L1" s="18" t="s">
        <v>22</v>
      </c>
      <c r="M1" s="18" t="s">
        <v>23</v>
      </c>
      <c r="N1" s="18" t="s">
        <v>24</v>
      </c>
      <c r="O1" s="18" t="s">
        <v>25</v>
      </c>
      <c r="P1" s="18" t="s">
        <v>26</v>
      </c>
      <c r="Q1" s="18" t="s">
        <v>27</v>
      </c>
      <c r="R1" s="18" t="s">
        <v>28</v>
      </c>
      <c r="S1" s="18" t="s">
        <v>29</v>
      </c>
      <c r="T1" s="18" t="s">
        <v>30</v>
      </c>
      <c r="U1" s="18" t="s">
        <v>31</v>
      </c>
      <c r="V1" s="18" t="s">
        <v>32</v>
      </c>
      <c r="W1" s="18" t="s">
        <v>33</v>
      </c>
      <c r="X1" s="18" t="s">
        <v>34</v>
      </c>
      <c r="Y1" s="18" t="s">
        <v>35</v>
      </c>
      <c r="Z1" s="18" t="s">
        <v>36</v>
      </c>
      <c r="AA1" s="18" t="s">
        <v>37</v>
      </c>
      <c r="AB1" s="18" t="s">
        <v>142</v>
      </c>
      <c r="AC1" s="18" t="s">
        <v>38</v>
      </c>
      <c r="AD1" s="18" t="s">
        <v>39</v>
      </c>
      <c r="AE1" s="18" t="s">
        <v>40</v>
      </c>
      <c r="AF1" s="22" t="s">
        <v>41</v>
      </c>
      <c r="AG1" s="22" t="s">
        <v>42</v>
      </c>
      <c r="AH1" s="22" t="s">
        <v>143</v>
      </c>
      <c r="AI1" s="18" t="s">
        <v>43</v>
      </c>
    </row>
    <row r="2" spans="1:35" s="24" customFormat="1" ht="44">
      <c r="A2" s="5">
        <v>46185</v>
      </c>
      <c r="B2" s="6" t="s">
        <v>112</v>
      </c>
      <c r="C2" s="6" t="s">
        <v>114</v>
      </c>
      <c r="D2" s="6" t="s">
        <v>128</v>
      </c>
      <c r="E2" s="28" t="s">
        <v>113</v>
      </c>
      <c r="F2" s="7">
        <v>4.99</v>
      </c>
      <c r="G2" s="7"/>
      <c r="H2" s="7">
        <f>IF(F2="","",IF(G2="",F2,G2))</f>
        <v>4.99</v>
      </c>
      <c r="I2" s="6" t="s">
        <v>44</v>
      </c>
      <c r="J2" s="7">
        <v>0</v>
      </c>
      <c r="K2" s="7">
        <v>0</v>
      </c>
      <c r="L2" s="7">
        <f>IF(H2="","",IF(I2="Grocery add-on",H2,H2+N(J2)+N(K2)))</f>
        <v>4.99</v>
      </c>
      <c r="M2" s="8">
        <v>12</v>
      </c>
      <c r="N2" s="8">
        <v>320</v>
      </c>
      <c r="O2" s="8">
        <f>IF(OR(M2="",N2=""),"",M2*N2)</f>
        <v>3840</v>
      </c>
      <c r="P2" s="8">
        <v>3</v>
      </c>
      <c r="Q2" s="8"/>
      <c r="R2" s="8"/>
      <c r="S2" s="9" t="str">
        <f>IF(OR(Q2="",R2=""),"",Q2*R2/1000000)</f>
        <v/>
      </c>
      <c r="T2" s="9" t="str">
        <f>IF(OR(O2="",S2=""),"",O2*S2)</f>
        <v/>
      </c>
      <c r="U2" s="6">
        <f>IFERROR(L2/M2,"")</f>
        <v>0.41583333333333333</v>
      </c>
      <c r="V2" s="6">
        <f>IFERROR(L2/O2*100,"")</f>
        <v>0.12994791666666666</v>
      </c>
      <c r="W2" s="6" t="str">
        <f>IFERROR(L2/T2,"")</f>
        <v/>
      </c>
      <c r="X2" s="10"/>
      <c r="Y2" s="8"/>
      <c r="Z2" s="7" t="s">
        <v>45</v>
      </c>
      <c r="AA2" s="7" t="s">
        <v>45</v>
      </c>
      <c r="AB2" s="7" t="s">
        <v>145</v>
      </c>
      <c r="AC2" s="7" t="str">
        <f>IF(A2="","",IF(AND(H2&lt;&gt;"",M2&lt;&gt;"",N2&lt;&gt;"",P2=3,Z2="Yes",AA2="Yes"),"High",IF(AND(H2&lt;&gt;"",M2&lt;&gt;"",N2&lt;&gt;""),"Medium","Low")))</f>
        <v>High</v>
      </c>
      <c r="AD2" s="7" t="str">
        <f>IF(AND(P2&gt;=3,Z2="Yes",AA2="Yes",O2&lt;&gt;"",L2&lt;&gt;""),"Include","Exclude")</f>
        <v>Include</v>
      </c>
      <c r="AE2" s="6">
        <f>IF(A2="","",IF(OR(ListingsTable[[#This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2" s="11">
        <f>IF(AD2="Include",V2*AE2,"")</f>
        <v>0.13384635416666665</v>
      </c>
      <c r="AG2" s="71">
        <f>IF(AF2="","",COUNTIFS($AF$2:$AF$76,"&lt;"&amp;AF2,$AD$2:$AD$76,"Include")+COUNTIFS($AF$2:AF2,AF2,$AD$2:AD2,"Include"))</f>
        <v>1</v>
      </c>
      <c r="AH2" s="71"/>
      <c r="AI2" s="6"/>
    </row>
    <row r="3" spans="1:35" s="24" customFormat="1" ht="44">
      <c r="A3" s="5">
        <v>46188</v>
      </c>
      <c r="B3" s="6" t="s">
        <v>60</v>
      </c>
      <c r="C3" s="6" t="s">
        <v>184</v>
      </c>
      <c r="D3" s="6" t="s">
        <v>185</v>
      </c>
      <c r="E3" s="28" t="s">
        <v>186</v>
      </c>
      <c r="F3" s="7">
        <v>9.99</v>
      </c>
      <c r="G3" s="7"/>
      <c r="H3" s="7">
        <f>IF(F3="","",IF(G3="",F3,G3))</f>
        <v>9.99</v>
      </c>
      <c r="I3" s="6" t="s">
        <v>44</v>
      </c>
      <c r="J3" s="7">
        <v>0</v>
      </c>
      <c r="K3" s="7">
        <v>0</v>
      </c>
      <c r="L3" s="7">
        <f>IF(H3="","",IF(I3="Grocery add-on",H3,H3+N(J3)+N(K3)))</f>
        <v>9.99</v>
      </c>
      <c r="M3" s="8">
        <v>45</v>
      </c>
      <c r="N3" s="8">
        <v>155</v>
      </c>
      <c r="O3" s="8">
        <f>IF(OR(M3="",N3=""),"",M3*N3)</f>
        <v>6975</v>
      </c>
      <c r="P3" s="8">
        <v>3</v>
      </c>
      <c r="Q3" s="8"/>
      <c r="R3" s="8"/>
      <c r="S3" s="9" t="str">
        <f>IF(OR(Q3="",R3=""),"",Q3*R3/1000000)</f>
        <v/>
      </c>
      <c r="T3" s="9" t="str">
        <f>IF(OR(O3="",S3=""),"",O3*S3)</f>
        <v/>
      </c>
      <c r="U3" s="6">
        <f>IFERROR(L3/M3,"")</f>
        <v>0.222</v>
      </c>
      <c r="V3" s="6">
        <f>IFERROR(L3/O3*100,"")</f>
        <v>0.1432258064516129</v>
      </c>
      <c r="W3" s="6" t="str">
        <f>IFERROR(L3/T3,"")</f>
        <v/>
      </c>
      <c r="X3" s="10">
        <v>5</v>
      </c>
      <c r="Y3" s="8">
        <v>2</v>
      </c>
      <c r="Z3" s="7" t="s">
        <v>45</v>
      </c>
      <c r="AA3" s="7" t="s">
        <v>45</v>
      </c>
      <c r="AB3" s="7" t="s">
        <v>145</v>
      </c>
      <c r="AC3" s="7" t="str">
        <f>IF(A3="","",IF(AND(H3&lt;&gt;"",M3&lt;&gt;"",N3&lt;&gt;"",P3=3,Z3="Yes",AA3="Yes"),"High",IF(AND(H3&lt;&gt;"",M3&lt;&gt;"",N3&lt;&gt;""),"Medium","Low")))</f>
        <v>High</v>
      </c>
      <c r="AD3" s="7" t="str">
        <f>IF(AND(P3&gt;=3,Z3="Yes",AA3="Yes",O3&lt;&gt;"",L3&lt;&gt;""),"Include","Exclude")</f>
        <v>Include</v>
      </c>
      <c r="AE3" s="6">
        <f>IF(A3="","",IF(OR(ListingsTable[[#This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" s="11">
        <f>IF(AD3="Include",V3*AE3,"")</f>
        <v>0.1432258064516129</v>
      </c>
      <c r="AG3" s="71">
        <f>IF(AF3="","",COUNTIFS($AF$2:$AF$76,"&lt;"&amp;AF3,$AD$2:$AD$76,"Include")+COUNTIFS($AF$2:AF3,AF3,$AD$2:AD3,"Include"))</f>
        <v>2</v>
      </c>
      <c r="AH3" s="71"/>
      <c r="AI3" s="6"/>
    </row>
    <row r="4" spans="1:35" s="24" customFormat="1" ht="44">
      <c r="A4" s="5">
        <v>46185</v>
      </c>
      <c r="B4" s="6" t="s">
        <v>123</v>
      </c>
      <c r="C4" s="6" t="s">
        <v>122</v>
      </c>
      <c r="D4" s="6" t="s">
        <v>129</v>
      </c>
      <c r="E4" s="28" t="s">
        <v>121</v>
      </c>
      <c r="F4" s="7">
        <v>17.98</v>
      </c>
      <c r="G4" s="7"/>
      <c r="H4" s="7">
        <v>17.98</v>
      </c>
      <c r="I4" s="6" t="s">
        <v>44</v>
      </c>
      <c r="J4" s="7">
        <v>0</v>
      </c>
      <c r="K4" s="7">
        <v>0</v>
      </c>
      <c r="L4" s="7">
        <f>IF(H4="","",IF(I4="Grocery add-on",H4,H4+N(J4)+N(K4)))</f>
        <v>17.98</v>
      </c>
      <c r="M4" s="8">
        <v>64</v>
      </c>
      <c r="N4" s="8">
        <v>200</v>
      </c>
      <c r="O4" s="8">
        <f>IF(OR(M4="",N4=""),"",M4*N4)</f>
        <v>12800</v>
      </c>
      <c r="P4" s="8">
        <v>3</v>
      </c>
      <c r="Q4" s="8"/>
      <c r="R4" s="8"/>
      <c r="S4" s="9" t="str">
        <f>IF(OR(Q4="",R4=""),"",Q4*R4/1000000)</f>
        <v/>
      </c>
      <c r="T4" s="9" t="str">
        <f>IF(OR(O4="",S4=""),"",O4*S4)</f>
        <v/>
      </c>
      <c r="U4" s="6">
        <f>IFERROR(L4/M4,"")</f>
        <v>0.28093750000000001</v>
      </c>
      <c r="V4" s="6">
        <f>IFERROR(L4/O4*100,"")</f>
        <v>0.14046875</v>
      </c>
      <c r="W4" s="6" t="str">
        <f>IFERROR(L4/T4,"")</f>
        <v/>
      </c>
      <c r="X4" s="10"/>
      <c r="Y4" s="8"/>
      <c r="Z4" s="7" t="s">
        <v>45</v>
      </c>
      <c r="AA4" s="7" t="s">
        <v>45</v>
      </c>
      <c r="AB4" s="7" t="s">
        <v>145</v>
      </c>
      <c r="AC4" s="7" t="str">
        <f>IF(A4="","",IF(AND(H4&lt;&gt;"",M4&lt;&gt;"",N4&lt;&gt;"",P4=3,Z4="Yes",AA4="Yes"),"High",IF(AND(H4&lt;&gt;"",M4&lt;&gt;"",N4&lt;&gt;""),"Medium","Low")))</f>
        <v>High</v>
      </c>
      <c r="AD4" s="7" t="str">
        <f>IF(AND(P4&gt;=3,Z4="Yes",AA4="Yes",O4&lt;&gt;"",L4&lt;&gt;""),"Include","Exclude")</f>
        <v>Include</v>
      </c>
      <c r="AE4" s="6">
        <f>IF(A4="","",IF(OR(ListingsTable[[#This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4" s="11">
        <f>IF(AD4="Include",V4*AE4,"")</f>
        <v>0.14468281250000001</v>
      </c>
      <c r="AG4" s="71">
        <f>IF(AF4="","",COUNTIFS($AF$2:$AF$76,"&lt;"&amp;AF4,$AD$2:$AD$76,"Include")+COUNTIFS($AF$2:AF4,AF4,$AD$2:AD4,"Include"))</f>
        <v>3</v>
      </c>
      <c r="AH4" s="71"/>
      <c r="AI4" s="6"/>
    </row>
    <row r="5" spans="1:35" s="24" customFormat="1" ht="44">
      <c r="A5" s="5">
        <v>46185</v>
      </c>
      <c r="B5" s="6" t="s">
        <v>62</v>
      </c>
      <c r="C5" s="6" t="s">
        <v>102</v>
      </c>
      <c r="D5" s="6" t="s">
        <v>130</v>
      </c>
      <c r="E5" s="12" t="s">
        <v>101</v>
      </c>
      <c r="F5" s="7">
        <v>6</v>
      </c>
      <c r="G5" s="7"/>
      <c r="H5" s="7">
        <f>IF(F5="","",IF(G5="",F5,G5))</f>
        <v>6</v>
      </c>
      <c r="I5" s="6" t="s">
        <v>44</v>
      </c>
      <c r="J5" s="7">
        <v>0</v>
      </c>
      <c r="K5" s="7">
        <v>0</v>
      </c>
      <c r="L5" s="7">
        <f>IF(H5="","",IF(I5="Grocery add-on",H5,H5+N(J5)+N(K5)))</f>
        <v>6</v>
      </c>
      <c r="M5" s="8">
        <v>16</v>
      </c>
      <c r="N5" s="8">
        <v>240</v>
      </c>
      <c r="O5" s="8">
        <f>IF(OR(M5="",N5=""),"",M5*N5)</f>
        <v>3840</v>
      </c>
      <c r="P5" s="8">
        <v>3</v>
      </c>
      <c r="Q5" s="8"/>
      <c r="R5" s="8"/>
      <c r="S5" s="9" t="str">
        <f>IF(OR(Q5="",R5=""),"",Q5*R5/1000000)</f>
        <v/>
      </c>
      <c r="T5" s="9" t="str">
        <f>IF(OR(O5="",S5=""),"",O5*S5)</f>
        <v/>
      </c>
      <c r="U5" s="6">
        <f>IFERROR(L5/M5,"")</f>
        <v>0.375</v>
      </c>
      <c r="V5" s="6">
        <f>IFERROR(L5/O5*100,"")</f>
        <v>0.15625</v>
      </c>
      <c r="W5" s="6" t="str">
        <f>IFERROR(L5/T5,"")</f>
        <v/>
      </c>
      <c r="X5" s="10">
        <v>3.2</v>
      </c>
      <c r="Y5" s="8">
        <v>63</v>
      </c>
      <c r="Z5" s="7" t="s">
        <v>45</v>
      </c>
      <c r="AA5" s="7" t="s">
        <v>45</v>
      </c>
      <c r="AB5" s="7" t="s">
        <v>145</v>
      </c>
      <c r="AC5" s="7" t="str">
        <f>IF(A5="","",IF(AND(H5&lt;&gt;"",M5&lt;&gt;"",N5&lt;&gt;"",P5=3,Z5="Yes",AA5="Yes"),"High",IF(AND(H5&lt;&gt;"",M5&lt;&gt;"",N5&lt;&gt;""),"Medium","Low")))</f>
        <v>High</v>
      </c>
      <c r="AD5" s="7" t="str">
        <f>IF(AND(P5&gt;=3,Z5="Yes",AA5="Yes",O5&lt;&gt;"",L5&lt;&gt;""),"Include","Exclude")</f>
        <v>Include</v>
      </c>
      <c r="AE5" s="6">
        <f>IF(A5="","",IF(OR(ListingsTable[[#This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1.05</v>
      </c>
      <c r="AF5" s="11">
        <f>IF(AD5="Include",V5*AE5,"")</f>
        <v>0.1640625</v>
      </c>
      <c r="AG5" s="71">
        <f>IF(AF5="","",COUNTIFS($AF$2:$AF$76,"&lt;"&amp;AF5,$AD$2:$AD$76,"Include")+COUNTIFS($AF$2:AF5,AF5,$AD$2:AD5,"Include"))</f>
        <v>4</v>
      </c>
      <c r="AH5" s="71"/>
      <c r="AI5" s="6"/>
    </row>
    <row r="6" spans="1:35" s="24" customFormat="1" ht="44">
      <c r="A6" s="5">
        <v>46188</v>
      </c>
      <c r="B6" s="6" t="s">
        <v>60</v>
      </c>
      <c r="C6" s="6" t="s">
        <v>210</v>
      </c>
      <c r="D6" s="6" t="s">
        <v>162</v>
      </c>
      <c r="E6" s="12" t="s">
        <v>211</v>
      </c>
      <c r="F6" s="7">
        <v>18.989999999999998</v>
      </c>
      <c r="G6" s="7"/>
      <c r="H6" s="7">
        <f>IF(F6="","",IF(G6="",F6,G6))</f>
        <v>18.989999999999998</v>
      </c>
      <c r="I6" s="6" t="s">
        <v>44</v>
      </c>
      <c r="J6" s="7">
        <v>0</v>
      </c>
      <c r="K6" s="7">
        <v>0</v>
      </c>
      <c r="L6" s="7">
        <f>IF(H6="","",IF(I6="Grocery add-on",H6,H6+N(J6)+N(K6)))</f>
        <v>18.989999999999998</v>
      </c>
      <c r="M6" s="8">
        <v>72</v>
      </c>
      <c r="N6" s="8">
        <v>160</v>
      </c>
      <c r="O6" s="8">
        <f>IF(OR(M6="",N6=""),"",M6*N6)</f>
        <v>11520</v>
      </c>
      <c r="P6" s="8">
        <v>3</v>
      </c>
      <c r="Q6" s="8">
        <v>104</v>
      </c>
      <c r="R6" s="8">
        <v>107</v>
      </c>
      <c r="S6" s="9">
        <f>IF(OR(Q6="",R6=""),"",Q6*R6/1000000)</f>
        <v>1.1128000000000001E-2</v>
      </c>
      <c r="T6" s="9">
        <f>IF(OR(O6="",S6=""),"",O6*S6)</f>
        <v>128.19456</v>
      </c>
      <c r="U6" s="6">
        <f>IFERROR(L6/M6,"")</f>
        <v>0.26374999999999998</v>
      </c>
      <c r="V6" s="6">
        <f>IFERROR(L6/O6*100,"")</f>
        <v>0.16484374999999998</v>
      </c>
      <c r="W6" s="6">
        <f>IFERROR(L6/T6,"")</f>
        <v>0.14813421099928109</v>
      </c>
      <c r="X6" s="10">
        <v>4.2</v>
      </c>
      <c r="Y6" s="8">
        <v>477</v>
      </c>
      <c r="Z6" s="7" t="s">
        <v>45</v>
      </c>
      <c r="AA6" s="7" t="s">
        <v>45</v>
      </c>
      <c r="AB6" s="7" t="s">
        <v>145</v>
      </c>
      <c r="AC6" s="7" t="str">
        <f>IF(A6="","",IF(AND(H6&lt;&gt;"",M6&lt;&gt;"",N6&lt;&gt;"",P6=3,Z6="Yes",AA6="Yes"),"High",IF(AND(H6&lt;&gt;"",M6&lt;&gt;"",N6&lt;&gt;""),"Medium","Low")))</f>
        <v>High</v>
      </c>
      <c r="AD6" s="7" t="str">
        <f>IF(AND(P6&gt;=3,Z6="Yes",AA6="Yes",O6&lt;&gt;"",L6&lt;&gt;""),"Include","Exclude")</f>
        <v>Include</v>
      </c>
      <c r="AE6" s="6">
        <f>IF(A6="","",IF(OR(ListingsTable[[#This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6" s="11">
        <f>IF(AD6="Include",V6*AE6,"")</f>
        <v>0.16484374999999998</v>
      </c>
      <c r="AG6" s="71">
        <f>IF(AF6="","",COUNTIFS($AF$2:$AF$76,"&lt;"&amp;AF6,$AD$2:$AD$76,"Include")+COUNTIFS($AF$2:AF6,AF6,$AD$2:AD6,"Include"))</f>
        <v>5</v>
      </c>
      <c r="AH6" s="71"/>
      <c r="AI6" s="6"/>
    </row>
    <row r="7" spans="1:35" s="24" customFormat="1" ht="44">
      <c r="A7" s="5">
        <v>46185</v>
      </c>
      <c r="B7" s="6" t="s">
        <v>123</v>
      </c>
      <c r="C7" s="6" t="s">
        <v>144</v>
      </c>
      <c r="D7" s="6" t="s">
        <v>141</v>
      </c>
      <c r="E7" s="12" t="s">
        <v>124</v>
      </c>
      <c r="F7" s="7">
        <v>18.989999999999998</v>
      </c>
      <c r="G7" s="7"/>
      <c r="H7" s="7">
        <f>IF(F7="","",IF(G7="",F7,G7))</f>
        <v>18.989999999999998</v>
      </c>
      <c r="I7" s="6" t="s">
        <v>44</v>
      </c>
      <c r="J7" s="7">
        <v>0</v>
      </c>
      <c r="K7" s="7">
        <v>0</v>
      </c>
      <c r="L7" s="7">
        <f>IF(H7="","",IF(I7="Grocery add-on",H7,H7+N(J7)+N(K7)))</f>
        <v>18.989999999999998</v>
      </c>
      <c r="M7" s="8">
        <v>72</v>
      </c>
      <c r="N7" s="8">
        <v>160</v>
      </c>
      <c r="O7" s="8">
        <f>IF(OR(M7="",N7=""),"",M7*N7)</f>
        <v>11520</v>
      </c>
      <c r="P7" s="8">
        <v>3</v>
      </c>
      <c r="Q7" s="8">
        <v>115</v>
      </c>
      <c r="R7" s="8">
        <v>105</v>
      </c>
      <c r="S7" s="9">
        <f>IF(OR(Q7="",R7=""),"",Q7*R7/1000000)</f>
        <v>1.2075000000000001E-2</v>
      </c>
      <c r="T7" s="9">
        <f>IF(OR(O7="",S7=""),"",O7*S7)</f>
        <v>139.10400000000001</v>
      </c>
      <c r="U7" s="6">
        <f>IFERROR(L7/M7,"")</f>
        <v>0.26374999999999998</v>
      </c>
      <c r="V7" s="6">
        <f>IFERROR(L7/O7*100,"")</f>
        <v>0.16484374999999998</v>
      </c>
      <c r="W7" s="6">
        <f>IFERROR(L7/T7,"")</f>
        <v>0.13651656314699789</v>
      </c>
      <c r="X7" s="10"/>
      <c r="Y7" s="8"/>
      <c r="Z7" s="7" t="s">
        <v>45</v>
      </c>
      <c r="AA7" s="7" t="s">
        <v>45</v>
      </c>
      <c r="AB7" s="7" t="s">
        <v>145</v>
      </c>
      <c r="AC7" s="7" t="str">
        <f>IF(A7="","",IF(AND(H7&lt;&gt;"",M7&lt;&gt;"",N7&lt;&gt;"",P7=3,Z7="Yes",AA7="Yes"),"High",IF(AND(H7&lt;&gt;"",M7&lt;&gt;"",N7&lt;&gt;""),"Medium","Low")))</f>
        <v>High</v>
      </c>
      <c r="AD7" s="7" t="str">
        <f>IF(AND(P7&gt;=3,Z7="Yes",AA7="Yes",O7&lt;&gt;"",L7&lt;&gt;""),"Include","Exclude")</f>
        <v>Include</v>
      </c>
      <c r="AE7" s="6">
        <f>IF(A7="","",IF(OR(ListingsTable[[#This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7" s="11">
        <f>IF(AD7="Include",V7*AE7,"")</f>
        <v>0.16978906249999998</v>
      </c>
      <c r="AG7" s="71">
        <f>IF(AF7="","",COUNTIFS($AF$2:$AF$76,"&lt;"&amp;AF7,$AD$2:$AD$76,"Include")+COUNTIFS($AF$2:AF7,AF7,$AD$2:AD7,"Include"))</f>
        <v>6</v>
      </c>
      <c r="AH7" s="71"/>
      <c r="AI7" s="6"/>
    </row>
    <row r="8" spans="1:35" s="24" customFormat="1" ht="44">
      <c r="A8" s="5">
        <v>46188</v>
      </c>
      <c r="B8" s="6" t="s">
        <v>60</v>
      </c>
      <c r="C8" s="6" t="s">
        <v>160</v>
      </c>
      <c r="D8" s="6" t="s">
        <v>162</v>
      </c>
      <c r="E8" s="12" t="s">
        <v>161</v>
      </c>
      <c r="F8" s="7">
        <v>14.15</v>
      </c>
      <c r="G8" s="7"/>
      <c r="H8" s="7">
        <f>IF(F8="","",IF(G8="",F8,G8))</f>
        <v>14.15</v>
      </c>
      <c r="I8" s="6" t="s">
        <v>44</v>
      </c>
      <c r="J8" s="7">
        <v>0</v>
      </c>
      <c r="K8" s="7">
        <v>0</v>
      </c>
      <c r="L8" s="7">
        <f>IF(H8="","",IF(I8="Grocery add-on",H8,H8+N(J8)+N(K8)))</f>
        <v>14.15</v>
      </c>
      <c r="M8" s="8">
        <v>54</v>
      </c>
      <c r="N8" s="8">
        <v>150</v>
      </c>
      <c r="O8" s="8">
        <f>IF(OR(M8="",N8=""),"",M8*N8)</f>
        <v>8100</v>
      </c>
      <c r="P8" s="8">
        <v>3</v>
      </c>
      <c r="Q8" s="8"/>
      <c r="R8" s="8"/>
      <c r="S8" s="9" t="str">
        <f>IF(OR(Q8="",R8=""),"",Q8*R8/1000000)</f>
        <v/>
      </c>
      <c r="T8" s="9" t="str">
        <f>IF(OR(O8="",S8=""),"",O8*S8)</f>
        <v/>
      </c>
      <c r="U8" s="6">
        <f>IFERROR(L8/M8,"")</f>
        <v>0.26203703703703707</v>
      </c>
      <c r="V8" s="6">
        <f>IFERROR(L8/O8*100,"")</f>
        <v>0.17469135802469135</v>
      </c>
      <c r="W8" s="6" t="str">
        <f>IFERROR(L8/T8,"")</f>
        <v/>
      </c>
      <c r="X8" s="10">
        <v>4.4000000000000004</v>
      </c>
      <c r="Y8" s="8">
        <v>233</v>
      </c>
      <c r="Z8" s="7" t="s">
        <v>45</v>
      </c>
      <c r="AA8" s="7" t="s">
        <v>45</v>
      </c>
      <c r="AB8" s="7" t="s">
        <v>145</v>
      </c>
      <c r="AC8" s="7" t="str">
        <f>IF(A8="","",IF(AND(H8&lt;&gt;"",M8&lt;&gt;"",N8&lt;&gt;"",P8=3,Z8="Yes",AA8="Yes"),"High",IF(AND(H8&lt;&gt;"",M8&lt;&gt;"",N8&lt;&gt;""),"Medium","Low")))</f>
        <v>High</v>
      </c>
      <c r="AD8" s="7" t="str">
        <f>IF(AND(P8&gt;=3,Z8="Yes",AA8="Yes",O8&lt;&gt;"",L8&lt;&gt;""),"Include","Exclude")</f>
        <v>Include</v>
      </c>
      <c r="AE8" s="6">
        <f>IF(A8="","",IF(OR(ListingsTable[[#This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8" s="11">
        <f>IF(AD8="Include",V8*AE8,"")</f>
        <v>0.17469135802469135</v>
      </c>
      <c r="AG8" s="71">
        <f>IF(AF8="","",COUNTIFS($AF$2:$AF$76,"&lt;"&amp;AF8,$AD$2:$AD$76,"Include")+COUNTIFS($AF$2:AF8,AF8,$AD$2:AD8,"Include"))</f>
        <v>7</v>
      </c>
      <c r="AH8" s="71"/>
      <c r="AI8" s="6"/>
    </row>
    <row r="9" spans="1:35" s="24" customFormat="1" ht="44">
      <c r="A9" s="5">
        <v>46188</v>
      </c>
      <c r="B9" s="6" t="s">
        <v>60</v>
      </c>
      <c r="C9" s="6" t="s">
        <v>201</v>
      </c>
      <c r="D9" s="6" t="s">
        <v>202</v>
      </c>
      <c r="E9" s="12" t="s">
        <v>203</v>
      </c>
      <c r="F9" s="7">
        <v>25.49</v>
      </c>
      <c r="G9" s="7"/>
      <c r="H9" s="7">
        <f>IF(F9="","",IF(G9="",F9,G9))</f>
        <v>25.49</v>
      </c>
      <c r="I9" s="6" t="s">
        <v>44</v>
      </c>
      <c r="J9" s="7">
        <v>0</v>
      </c>
      <c r="K9" s="7">
        <v>0</v>
      </c>
      <c r="L9" s="7">
        <f>IF(H9="","",IF(I9="Grocery add-on",H9,H9+N(J9)+N(K9)))</f>
        <v>25.49</v>
      </c>
      <c r="M9" s="8">
        <v>120</v>
      </c>
      <c r="N9" s="8">
        <v>120</v>
      </c>
      <c r="O9" s="8">
        <f>IF(OR(M9="",N9=""),"",M9*N9)</f>
        <v>14400</v>
      </c>
      <c r="P9" s="8">
        <v>3</v>
      </c>
      <c r="Q9" s="8"/>
      <c r="R9" s="8"/>
      <c r="S9" s="9" t="str">
        <f>IF(OR(Q9="",R9=""),"",Q9*R9/1000000)</f>
        <v/>
      </c>
      <c r="T9" s="9" t="str">
        <f>IF(OR(O9="",S9=""),"",O9*S9)</f>
        <v/>
      </c>
      <c r="U9" s="6">
        <f>IFERROR(L9/M9,"")</f>
        <v>0.21241666666666664</v>
      </c>
      <c r="V9" s="6">
        <f>IFERROR(L9/O9*100,"")</f>
        <v>0.17701388888888889</v>
      </c>
      <c r="W9" s="6" t="str">
        <f>IFERROR(L9/T9,"")</f>
        <v/>
      </c>
      <c r="X9" s="10">
        <v>4.3</v>
      </c>
      <c r="Y9" s="8">
        <v>18</v>
      </c>
      <c r="Z9" s="7" t="s">
        <v>45</v>
      </c>
      <c r="AA9" s="7" t="s">
        <v>45</v>
      </c>
      <c r="AB9" s="7" t="s">
        <v>145</v>
      </c>
      <c r="AC9" s="7" t="str">
        <f>IF(A9="","",IF(AND(H9&lt;&gt;"",M9&lt;&gt;"",N9&lt;&gt;"",P9=3,Z9="Yes",AA9="Yes"),"High",IF(AND(H9&lt;&gt;"",M9&lt;&gt;"",N9&lt;&gt;""),"Medium","Low")))</f>
        <v>High</v>
      </c>
      <c r="AD9" s="7" t="str">
        <f>IF(AND(P9&gt;=3,Z9="Yes",AA9="Yes",O9&lt;&gt;"",L9&lt;&gt;""),"Include","Exclude")</f>
        <v>Include</v>
      </c>
      <c r="AE9" s="6">
        <f>IF(A9="","",IF(OR(ListingsTable[[#This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9" s="11">
        <f>IF(AD9="Include",V9*AE9,"")</f>
        <v>0.17701388888888889</v>
      </c>
      <c r="AG9" s="71">
        <f>IF(AF9="","",COUNTIFS($AF$2:$AF$76,"&lt;"&amp;AF9,$AD$2:$AD$76,"Include")+COUNTIFS($AF$2:AF9,AF9,$AD$2:AD9,"Include"))</f>
        <v>8</v>
      </c>
      <c r="AH9" s="71"/>
      <c r="AI9" s="6"/>
    </row>
    <row r="10" spans="1:35" s="24" customFormat="1" ht="44">
      <c r="A10" s="5">
        <v>46185</v>
      </c>
      <c r="B10" s="6" t="s">
        <v>93</v>
      </c>
      <c r="C10" s="6" t="s">
        <v>96</v>
      </c>
      <c r="D10" s="6" t="s">
        <v>131</v>
      </c>
      <c r="E10" s="12" t="s">
        <v>95</v>
      </c>
      <c r="F10" s="7">
        <v>6.5</v>
      </c>
      <c r="G10" s="7"/>
      <c r="H10" s="7">
        <f>IF(F10="","",IF(G10="",F10,G10))</f>
        <v>6.5</v>
      </c>
      <c r="I10" s="6" t="s">
        <v>44</v>
      </c>
      <c r="J10" s="7">
        <v>0</v>
      </c>
      <c r="K10" s="7">
        <v>0</v>
      </c>
      <c r="L10" s="7">
        <f>IF(H10="","",IF(I10="Grocery add-on",H10,H10+N(J10)+N(K10)))</f>
        <v>6.5</v>
      </c>
      <c r="M10" s="8">
        <v>24</v>
      </c>
      <c r="N10" s="8">
        <v>160</v>
      </c>
      <c r="O10" s="8">
        <f>IF(OR(M10="",N10=""),"",M10*N10)</f>
        <v>3840</v>
      </c>
      <c r="P10" s="8">
        <v>3</v>
      </c>
      <c r="Q10" s="8">
        <v>110</v>
      </c>
      <c r="R10" s="8">
        <v>96</v>
      </c>
      <c r="S10" s="9">
        <f>IF(OR(Q10="",R10=""),"",Q10*R10/1000000)</f>
        <v>1.056E-2</v>
      </c>
      <c r="T10" s="9">
        <f>IF(OR(O10="",S10=""),"",O10*S10)</f>
        <v>40.550399999999996</v>
      </c>
      <c r="U10" s="6">
        <f>IFERROR(L10/M10,"")</f>
        <v>0.27083333333333331</v>
      </c>
      <c r="V10" s="6">
        <f>IFERROR(L10/O10*100,"")</f>
        <v>0.16927083333333334</v>
      </c>
      <c r="W10" s="6">
        <f>IFERROR(L10/T10,"")</f>
        <v>0.16029434974747475</v>
      </c>
      <c r="X10" s="10">
        <v>3.7</v>
      </c>
      <c r="Y10" s="8">
        <v>28</v>
      </c>
      <c r="Z10" s="7" t="s">
        <v>45</v>
      </c>
      <c r="AA10" s="7" t="s">
        <v>45</v>
      </c>
      <c r="AB10" s="7" t="s">
        <v>145</v>
      </c>
      <c r="AC10" s="7" t="str">
        <f>IF(A10="","",IF(AND(H10&lt;&gt;"",M10&lt;&gt;"",N10&lt;&gt;"",P10=3,Z10="Yes",AA10="Yes"),"High",IF(AND(H10&lt;&gt;"",M10&lt;&gt;"",N10&lt;&gt;""),"Medium","Low")))</f>
        <v>High</v>
      </c>
      <c r="AD10" s="7" t="str">
        <f>IF(AND(P10&gt;=3,Z10="Yes",AA10="Yes",O10&lt;&gt;"",L10&lt;&gt;""),"Include","Exclude")</f>
        <v>Include</v>
      </c>
      <c r="AE10" s="6">
        <f>IF(A10="","",IF(OR(ListingsTable[[#This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1.05</v>
      </c>
      <c r="AF10" s="11">
        <f>IF(AD10="Include",V10*AE10,"")</f>
        <v>0.17773437500000003</v>
      </c>
      <c r="AG10" s="71">
        <f>IF(AF10="","",COUNTIFS($AF$2:$AF$76,"&lt;"&amp;AF10,$AD$2:$AD$76,"Include")+COUNTIFS($AF$2:AF10,AF10,$AD$2:AD10,"Include"))</f>
        <v>9</v>
      </c>
      <c r="AH10" s="71"/>
      <c r="AI10" s="6"/>
    </row>
    <row r="11" spans="1:35" s="24" customFormat="1" ht="44">
      <c r="A11" s="5">
        <v>46188</v>
      </c>
      <c r="B11" s="6" t="s">
        <v>60</v>
      </c>
      <c r="C11" s="6" t="s">
        <v>222</v>
      </c>
      <c r="D11" s="6" t="s">
        <v>224</v>
      </c>
      <c r="E11" s="12" t="s">
        <v>225</v>
      </c>
      <c r="F11" s="7">
        <v>18.489999999999998</v>
      </c>
      <c r="G11" s="7"/>
      <c r="H11" s="7">
        <f>IF(F11="","",IF(G11="",F11,G11))</f>
        <v>18.489999999999998</v>
      </c>
      <c r="I11" s="6" t="s">
        <v>44</v>
      </c>
      <c r="J11" s="7">
        <v>0</v>
      </c>
      <c r="K11" s="7">
        <v>0</v>
      </c>
      <c r="L11" s="7">
        <f>IF(H11="","",IF(I11="Grocery add-on",H11,H11+N(J11)+N(K11)))</f>
        <v>18.489999999999998</v>
      </c>
      <c r="M11" s="8">
        <v>60</v>
      </c>
      <c r="N11" s="8">
        <v>170</v>
      </c>
      <c r="O11" s="8">
        <f>IF(OR(M11="",N11=""),"",M11*N11)</f>
        <v>10200</v>
      </c>
      <c r="P11" s="8">
        <v>3</v>
      </c>
      <c r="Q11" s="8"/>
      <c r="R11" s="8"/>
      <c r="S11" s="9" t="str">
        <f>IF(OR(Q11="",R11=""),"",Q11*R11/1000000)</f>
        <v/>
      </c>
      <c r="T11" s="9" t="str">
        <f>IF(OR(O11="",S11=""),"",O11*S11)</f>
        <v/>
      </c>
      <c r="U11" s="6">
        <f>IFERROR(L11/M11,"")</f>
        <v>0.30816666666666664</v>
      </c>
      <c r="V11" s="6">
        <f>IFERROR(L11/O11*100,"")</f>
        <v>0.18127450980392157</v>
      </c>
      <c r="W11" s="6" t="str">
        <f>IFERROR(L11/T11,"")</f>
        <v/>
      </c>
      <c r="X11" s="10">
        <v>4.5999999999999996</v>
      </c>
      <c r="Y11" s="8">
        <v>7</v>
      </c>
      <c r="Z11" s="7" t="s">
        <v>45</v>
      </c>
      <c r="AA11" s="7" t="s">
        <v>45</v>
      </c>
      <c r="AB11" s="7" t="s">
        <v>145</v>
      </c>
      <c r="AC11" s="7" t="str">
        <f>IF(A11="","",IF(AND(H11&lt;&gt;"",M11&lt;&gt;"",N11&lt;&gt;"",P11=3,Z11="Yes",AA11="Yes"),"High",IF(AND(H11&lt;&gt;"",M11&lt;&gt;"",N11&lt;&gt;""),"Medium","Low")))</f>
        <v>High</v>
      </c>
      <c r="AD11" s="7" t="str">
        <f>IF(AND(P11&gt;=3,Z11="Yes",AA11="Yes",O11&lt;&gt;"",L11&lt;&gt;""),"Include","Exclude")</f>
        <v>Include</v>
      </c>
      <c r="AE11" s="6">
        <f>IF(A11="","",IF(OR(ListingsTable[[#This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1" s="11">
        <f>IF(AD11="Include",V11*AE11,"")</f>
        <v>0.18127450980392157</v>
      </c>
      <c r="AG11" s="71">
        <f>IF(AF11="","",COUNTIFS($AF$2:$AF$76,"&lt;"&amp;AF11,$AD$2:$AD$76,"Include")+COUNTIFS($AF$2:AF11,AF11,$AD$2:AD11,"Include"))</f>
        <v>10</v>
      </c>
      <c r="AH11" s="71"/>
      <c r="AI11" s="6"/>
    </row>
    <row r="12" spans="1:35" s="24" customFormat="1" ht="44">
      <c r="A12" s="5">
        <v>46188</v>
      </c>
      <c r="B12" s="6" t="s">
        <v>60</v>
      </c>
      <c r="C12" s="6" t="s">
        <v>166</v>
      </c>
      <c r="D12" s="6" t="s">
        <v>167</v>
      </c>
      <c r="E12" s="12" t="s">
        <v>168</v>
      </c>
      <c r="F12" s="7">
        <v>17.989999999999998</v>
      </c>
      <c r="G12" s="7"/>
      <c r="H12" s="7">
        <f>IF(F12="","",IF(G12="",F12,G12))</f>
        <v>17.989999999999998</v>
      </c>
      <c r="I12" s="6" t="s">
        <v>44</v>
      </c>
      <c r="J12" s="7">
        <v>0</v>
      </c>
      <c r="K12" s="7">
        <v>0</v>
      </c>
      <c r="L12" s="7">
        <f>IF(H12="","",IF(I12="Grocery add-on",H12,H12+N(J12)+N(K12)))</f>
        <v>17.989999999999998</v>
      </c>
      <c r="M12" s="8">
        <v>60</v>
      </c>
      <c r="N12" s="8">
        <v>160</v>
      </c>
      <c r="O12" s="8">
        <f>IF(OR(M12="",N12=""),"",M12*N12)</f>
        <v>9600</v>
      </c>
      <c r="P12" s="8">
        <v>3</v>
      </c>
      <c r="Q12" s="8"/>
      <c r="R12" s="8"/>
      <c r="S12" s="9" t="str">
        <f>IF(OR(Q12="",R12=""),"",Q12*R12/1000000)</f>
        <v/>
      </c>
      <c r="T12" s="9" t="str">
        <f>IF(OR(O12="",S12=""),"",O12*S12)</f>
        <v/>
      </c>
      <c r="U12" s="6">
        <f>IFERROR(L12/M12,"")</f>
        <v>0.29983333333333329</v>
      </c>
      <c r="V12" s="6">
        <f>IFERROR(L12/O12*100,"")</f>
        <v>0.18739583333333332</v>
      </c>
      <c r="W12" s="6" t="str">
        <f>IFERROR(L12/T12,"")</f>
        <v/>
      </c>
      <c r="X12" s="10">
        <v>4.3</v>
      </c>
      <c r="Y12" s="8">
        <v>1772</v>
      </c>
      <c r="Z12" s="7" t="s">
        <v>45</v>
      </c>
      <c r="AA12" s="7" t="s">
        <v>45</v>
      </c>
      <c r="AB12" s="7" t="s">
        <v>145</v>
      </c>
      <c r="AC12" s="7" t="str">
        <f>IF(A12="","",IF(AND(H12&lt;&gt;"",M12&lt;&gt;"",N12&lt;&gt;"",P12=3,Z12="Yes",AA12="Yes"),"High",IF(AND(H12&lt;&gt;"",M12&lt;&gt;"",N12&lt;&gt;""),"Medium","Low")))</f>
        <v>High</v>
      </c>
      <c r="AD12" s="7" t="str">
        <f>IF(AND(P12&gt;=3,Z12="Yes",AA12="Yes",O12&lt;&gt;"",L12&lt;&gt;""),"Include","Exclude")</f>
        <v>Include</v>
      </c>
      <c r="AE12" s="6">
        <f>IF(A12="","",IF(OR(ListingsTable[[#This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2" s="11">
        <f>IF(AD12="Include",V12*AE12,"")</f>
        <v>0.18739583333333332</v>
      </c>
      <c r="AG12" s="71">
        <f>IF(AF12="","",COUNTIFS($AF$2:$AF$76,"&lt;"&amp;AF12,$AD$2:$AD$76,"Include")+COUNTIFS($AF$2:AF12,AF12,$AD$2:AD12,"Include"))</f>
        <v>11</v>
      </c>
      <c r="AH12" s="71"/>
      <c r="AI12" s="6"/>
    </row>
    <row r="13" spans="1:35" s="24" customFormat="1" ht="44">
      <c r="A13" s="5">
        <v>46188</v>
      </c>
      <c r="B13" s="6" t="s">
        <v>60</v>
      </c>
      <c r="C13" s="6" t="s">
        <v>169</v>
      </c>
      <c r="D13" s="6" t="s">
        <v>170</v>
      </c>
      <c r="E13" s="12" t="s">
        <v>171</v>
      </c>
      <c r="F13" s="7">
        <v>23.75</v>
      </c>
      <c r="G13" s="7"/>
      <c r="H13" s="7">
        <f>IF(F13="","",IF(G13="",F13,G13))</f>
        <v>23.75</v>
      </c>
      <c r="I13" s="6" t="s">
        <v>44</v>
      </c>
      <c r="J13" s="7">
        <v>0</v>
      </c>
      <c r="K13" s="7">
        <v>0</v>
      </c>
      <c r="L13" s="7">
        <f>IF(H13="","",IF(I13="Grocery add-on",H13,H13+N(J13)+N(K13)))</f>
        <v>23.75</v>
      </c>
      <c r="M13" s="8">
        <v>90</v>
      </c>
      <c r="N13" s="8">
        <v>140</v>
      </c>
      <c r="O13" s="8">
        <f>IF(OR(M13="",N13=""),"",M13*N13)</f>
        <v>12600</v>
      </c>
      <c r="P13" s="8">
        <v>3</v>
      </c>
      <c r="Q13" s="8"/>
      <c r="R13" s="8"/>
      <c r="S13" s="9" t="str">
        <f>IF(OR(Q13="",R13=""),"",Q13*R13/1000000)</f>
        <v/>
      </c>
      <c r="T13" s="9" t="str">
        <f>IF(OR(O13="",S13=""),"",O13*S13)</f>
        <v/>
      </c>
      <c r="U13" s="6">
        <f>IFERROR(L13/M13,"")</f>
        <v>0.2638888888888889</v>
      </c>
      <c r="V13" s="6">
        <f>IFERROR(L13/O13*100,"")</f>
        <v>0.18849206349206349</v>
      </c>
      <c r="W13" s="6" t="str">
        <f>IFERROR(L13/T13,"")</f>
        <v/>
      </c>
      <c r="X13" s="10">
        <v>4.4000000000000004</v>
      </c>
      <c r="Y13" s="8">
        <v>789</v>
      </c>
      <c r="Z13" s="7" t="s">
        <v>45</v>
      </c>
      <c r="AA13" s="7" t="s">
        <v>45</v>
      </c>
      <c r="AB13" s="7" t="s">
        <v>145</v>
      </c>
      <c r="AC13" s="7" t="str">
        <f>IF(A13="","",IF(AND(H13&lt;&gt;"",M13&lt;&gt;"",N13&lt;&gt;"",P13=3,Z13="Yes",AA13="Yes"),"High",IF(AND(H13&lt;&gt;"",M13&lt;&gt;"",N13&lt;&gt;""),"Medium","Low")))</f>
        <v>High</v>
      </c>
      <c r="AD13" s="7" t="str">
        <f>IF(AND(P13&gt;=3,Z13="Yes",AA13="Yes",O13&lt;&gt;"",L13&lt;&gt;""),"Include","Exclude")</f>
        <v>Include</v>
      </c>
      <c r="AE13" s="6">
        <f>IF(A13="","",IF(OR(ListingsTable[[#This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3" s="11">
        <f>IF(AD13="Include",V13*AE13,"")</f>
        <v>0.18849206349206349</v>
      </c>
      <c r="AG13" s="71">
        <f>IF(AF13="","",COUNTIFS($AF$2:$AF$76,"&lt;"&amp;AF13,$AD$2:$AD$76,"Include")+COUNTIFS($AF$2:AF13,AF13,$AD$2:AD13,"Include"))</f>
        <v>12</v>
      </c>
      <c r="AH13" s="71"/>
      <c r="AI13" s="6"/>
    </row>
    <row r="14" spans="1:35" s="24" customFormat="1" ht="44">
      <c r="A14" s="5">
        <v>46188</v>
      </c>
      <c r="B14" s="6" t="s">
        <v>60</v>
      </c>
      <c r="C14" s="6" t="s">
        <v>163</v>
      </c>
      <c r="D14" s="6" t="s">
        <v>164</v>
      </c>
      <c r="E14" s="12" t="s">
        <v>165</v>
      </c>
      <c r="F14" s="7">
        <v>16.989999999999998</v>
      </c>
      <c r="G14" s="7"/>
      <c r="H14" s="7">
        <f>IF(F14="","",IF(G14="",F14,G14))</f>
        <v>16.989999999999998</v>
      </c>
      <c r="I14" s="6" t="s">
        <v>44</v>
      </c>
      <c r="J14" s="7">
        <v>0</v>
      </c>
      <c r="K14" s="7">
        <v>0</v>
      </c>
      <c r="L14" s="7">
        <f>IF(H14="","",IF(I14="Grocery add-on",H14,H14+N(J14)+N(K14)))</f>
        <v>16.989999999999998</v>
      </c>
      <c r="M14" s="8">
        <v>54</v>
      </c>
      <c r="N14" s="8">
        <v>165</v>
      </c>
      <c r="O14" s="8">
        <f>IF(OR(M14="",N14=""),"",M14*N14)</f>
        <v>8910</v>
      </c>
      <c r="P14" s="8">
        <v>3</v>
      </c>
      <c r="Q14" s="8">
        <v>95</v>
      </c>
      <c r="R14" s="8">
        <v>110</v>
      </c>
      <c r="S14" s="9">
        <f>IF(OR(Q14="",R14=""),"",Q14*R14/1000000)</f>
        <v>1.0449999999999999E-2</v>
      </c>
      <c r="T14" s="9">
        <f>IF(OR(O14="",S14=""),"",O14*S14)</f>
        <v>93.109499999999997</v>
      </c>
      <c r="U14" s="6">
        <f>IFERROR(L14/M14,"")</f>
        <v>0.31462962962962959</v>
      </c>
      <c r="V14" s="6">
        <f>IFERROR(L14/O14*100,"")</f>
        <v>0.19068462401795733</v>
      </c>
      <c r="W14" s="6">
        <f>IFERROR(L14/T14,"")</f>
        <v>0.18247332441909794</v>
      </c>
      <c r="X14" s="10">
        <v>4.2</v>
      </c>
      <c r="Y14" s="8">
        <v>254</v>
      </c>
      <c r="Z14" s="7" t="s">
        <v>45</v>
      </c>
      <c r="AA14" s="7" t="s">
        <v>45</v>
      </c>
      <c r="AB14" s="7" t="s">
        <v>145</v>
      </c>
      <c r="AC14" s="7" t="str">
        <f>IF(A14="","",IF(AND(H14&lt;&gt;"",M14&lt;&gt;"",N14&lt;&gt;"",P14=3,Z14="Yes",AA14="Yes"),"High",IF(AND(H14&lt;&gt;"",M14&lt;&gt;"",N14&lt;&gt;""),"Medium","Low")))</f>
        <v>High</v>
      </c>
      <c r="AD14" s="7" t="str">
        <f>IF(AND(P14&gt;=3,Z14="Yes",AA14="Yes",O14&lt;&gt;"",L14&lt;&gt;""),"Include","Exclude")</f>
        <v>Include</v>
      </c>
      <c r="AE14" s="6">
        <f>IF(A14="","",IF(OR(ListingsTable[[#This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4" s="11">
        <f>IF(AD14="Include",V14*AE14,"")</f>
        <v>0.19068462401795733</v>
      </c>
      <c r="AG14" s="71">
        <f>IF(AF14="","",COUNTIFS($AF$2:$AF$76,"&lt;"&amp;AF14,$AD$2:$AD$76,"Include")+COUNTIFS($AF$2:AF14,AF14,$AD$2:AD14,"Include"))</f>
        <v>13</v>
      </c>
      <c r="AH14" s="71"/>
      <c r="AI14" s="6"/>
    </row>
    <row r="15" spans="1:35" s="24" customFormat="1" ht="44">
      <c r="A15" s="5">
        <v>46188</v>
      </c>
      <c r="B15" s="6" t="s">
        <v>60</v>
      </c>
      <c r="C15" s="6" t="s">
        <v>217</v>
      </c>
      <c r="D15" s="6" t="s">
        <v>219</v>
      </c>
      <c r="E15" s="12" t="s">
        <v>218</v>
      </c>
      <c r="F15" s="7">
        <v>25</v>
      </c>
      <c r="G15" s="7"/>
      <c r="H15" s="7">
        <f>IF(F15="","",IF(G15="",F15,G15))</f>
        <v>25</v>
      </c>
      <c r="I15" s="6" t="s">
        <v>44</v>
      </c>
      <c r="J15" s="7">
        <v>0</v>
      </c>
      <c r="K15" s="7">
        <v>0</v>
      </c>
      <c r="L15" s="7">
        <f>IF(H15="","",IF(I15="Grocery add-on",H15,H15+N(J15)+N(K15)))</f>
        <v>25</v>
      </c>
      <c r="M15" s="8">
        <v>96</v>
      </c>
      <c r="N15" s="8">
        <v>135</v>
      </c>
      <c r="O15" s="8">
        <f>IF(OR(M15="",N15=""),"",M15*N15)</f>
        <v>12960</v>
      </c>
      <c r="P15" s="8">
        <v>3</v>
      </c>
      <c r="Q15" s="8"/>
      <c r="R15" s="8"/>
      <c r="S15" s="9" t="str">
        <f>IF(OR(Q15="",R15=""),"",Q15*R15/1000000)</f>
        <v/>
      </c>
      <c r="T15" s="9" t="str">
        <f>IF(OR(O15="",S15=""),"",O15*S15)</f>
        <v/>
      </c>
      <c r="U15" s="6">
        <f>IFERROR(L15/M15,"")</f>
        <v>0.26041666666666669</v>
      </c>
      <c r="V15" s="6">
        <f>IFERROR(L15/O15*100,"")</f>
        <v>0.19290123456790123</v>
      </c>
      <c r="W15" s="6" t="str">
        <f>IFERROR(L15/T15,"")</f>
        <v/>
      </c>
      <c r="X15" s="10">
        <v>4.3</v>
      </c>
      <c r="Y15" s="8">
        <v>3365</v>
      </c>
      <c r="Z15" s="7" t="s">
        <v>45</v>
      </c>
      <c r="AA15" s="7" t="s">
        <v>45</v>
      </c>
      <c r="AB15" s="7" t="s">
        <v>145</v>
      </c>
      <c r="AC15" s="7" t="str">
        <f>IF(A15="","",IF(AND(H15&lt;&gt;"",M15&lt;&gt;"",N15&lt;&gt;"",P15=3,Z15="Yes",AA15="Yes"),"High",IF(AND(H15&lt;&gt;"",M15&lt;&gt;"",N15&lt;&gt;""),"Medium","Low")))</f>
        <v>High</v>
      </c>
      <c r="AD15" s="7" t="str">
        <f>IF(AND(P15&gt;=3,Z15="Yes",AA15="Yes",O15&lt;&gt;"",L15&lt;&gt;""),"Include","Exclude")</f>
        <v>Include</v>
      </c>
      <c r="AE15" s="6">
        <f>IF(A15="","",IF(OR(ListingsTable[[#This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5" s="11">
        <f>IF(AD15="Include",V15*AE15,"")</f>
        <v>0.19290123456790123</v>
      </c>
      <c r="AG15" s="71">
        <f>IF(AF15="","",COUNTIFS($AF$2:$AF$76,"&lt;"&amp;AF15,$AD$2:$AD$76,"Include")+COUNTIFS($AF$2:AF15,AF15,$AD$2:AD15,"Include"))</f>
        <v>14</v>
      </c>
      <c r="AH15" s="71"/>
      <c r="AI15" s="6"/>
    </row>
    <row r="16" spans="1:35" s="24" customFormat="1" ht="44" customHeight="1">
      <c r="A16" s="5">
        <v>46188</v>
      </c>
      <c r="B16" s="6" t="s">
        <v>60</v>
      </c>
      <c r="C16" s="6" t="s">
        <v>207</v>
      </c>
      <c r="D16" s="6" t="s">
        <v>208</v>
      </c>
      <c r="E16" s="12" t="s">
        <v>209</v>
      </c>
      <c r="F16" s="7">
        <v>34.590000000000003</v>
      </c>
      <c r="G16" s="7"/>
      <c r="H16" s="7">
        <f>IF(F16="","",IF(G16="",F16,G16))</f>
        <v>34.590000000000003</v>
      </c>
      <c r="I16" s="6" t="s">
        <v>44</v>
      </c>
      <c r="J16" s="7">
        <v>0</v>
      </c>
      <c r="K16" s="7">
        <v>0</v>
      </c>
      <c r="L16" s="7">
        <f>IF(H16="","",IF(I16="Grocery add-on",H16,H16+N(J16)+N(K16)))</f>
        <v>34.590000000000003</v>
      </c>
      <c r="M16" s="8">
        <v>72</v>
      </c>
      <c r="N16" s="8">
        <v>243</v>
      </c>
      <c r="O16" s="8">
        <f>IF(OR(M16="",N16=""),"",M16*N16)</f>
        <v>17496</v>
      </c>
      <c r="P16" s="8">
        <v>3</v>
      </c>
      <c r="Q16" s="8">
        <v>94.6</v>
      </c>
      <c r="R16" s="8">
        <v>110</v>
      </c>
      <c r="S16" s="9">
        <f>IF(OR(Q16="",R16=""),"",Q16*R16/1000000)</f>
        <v>1.0406E-2</v>
      </c>
      <c r="T16" s="9">
        <f>IF(OR(O16="",S16=""),"",O16*S16)</f>
        <v>182.06337600000001</v>
      </c>
      <c r="U16" s="6">
        <f>IFERROR(L16/M16,"")</f>
        <v>0.48041666666666671</v>
      </c>
      <c r="V16" s="6">
        <f>IFERROR(L16/O16*100,"")</f>
        <v>0.19770233196159123</v>
      </c>
      <c r="W16" s="6">
        <f>IFERROR(L16/T16,"")</f>
        <v>0.18998878720122164</v>
      </c>
      <c r="X16" s="10">
        <v>4.4000000000000004</v>
      </c>
      <c r="Y16" s="8">
        <v>1908</v>
      </c>
      <c r="Z16" s="7" t="s">
        <v>45</v>
      </c>
      <c r="AA16" s="7" t="s">
        <v>45</v>
      </c>
      <c r="AB16" s="7" t="s">
        <v>145</v>
      </c>
      <c r="AC16" s="7" t="str">
        <f>IF(A16="","",IF(AND(H16&lt;&gt;"",M16&lt;&gt;"",N16&lt;&gt;"",P16=3,Z16="Yes",AA16="Yes"),"High",IF(AND(H16&lt;&gt;"",M16&lt;&gt;"",N16&lt;&gt;""),"Medium","Low")))</f>
        <v>High</v>
      </c>
      <c r="AD16" s="7" t="str">
        <f>IF(AND(P16&gt;=3,Z16="Yes",AA16="Yes",O16&lt;&gt;"",L16&lt;&gt;""),"Include","Exclude")</f>
        <v>Include</v>
      </c>
      <c r="AE16" s="6">
        <f>IF(A16="","",IF(OR(ListingsTable[[#This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6" s="11">
        <f>IF(AD16="Include",V16*AE16,"")</f>
        <v>0.19770233196159123</v>
      </c>
      <c r="AG16" s="71">
        <f>IF(AF16="","",COUNTIFS($AF$2:$AF$76,"&lt;"&amp;AF16,$AD$2:$AD$76,"Include")+COUNTIFS($AF$2:AF16,AF16,$AD$2:AD16,"Include"))</f>
        <v>15</v>
      </c>
      <c r="AH16" s="71"/>
      <c r="AI16" s="6"/>
    </row>
    <row r="17" spans="1:35" s="24" customFormat="1" ht="44">
      <c r="A17" s="5">
        <v>46185</v>
      </c>
      <c r="B17" s="6" t="s">
        <v>123</v>
      </c>
      <c r="C17" s="6" t="s">
        <v>125</v>
      </c>
      <c r="D17" s="6" t="s">
        <v>129</v>
      </c>
      <c r="E17" s="12" t="s">
        <v>126</v>
      </c>
      <c r="F17" s="7">
        <v>23.92</v>
      </c>
      <c r="G17" s="7"/>
      <c r="H17" s="7">
        <f>IF(F17="","",IF(G17="",F17,G17))</f>
        <v>23.92</v>
      </c>
      <c r="I17" s="6" t="s">
        <v>44</v>
      </c>
      <c r="J17" s="7">
        <v>0</v>
      </c>
      <c r="K17" s="7">
        <v>0</v>
      </c>
      <c r="L17" s="7">
        <f>IF(H17="","",IF(I17="Grocery add-on",H17,H17+N(J17)+N(K17)))</f>
        <v>23.92</v>
      </c>
      <c r="M17" s="8">
        <v>72</v>
      </c>
      <c r="N17" s="8">
        <v>170</v>
      </c>
      <c r="O17" s="8">
        <f>IF(OR(M17="",N17=""),"",M17*N17)</f>
        <v>12240</v>
      </c>
      <c r="P17" s="8">
        <v>3</v>
      </c>
      <c r="Q17" s="8"/>
      <c r="R17" s="8"/>
      <c r="S17" s="9" t="str">
        <f>IF(OR(Q17="",R17=""),"",Q17*R17/1000000)</f>
        <v/>
      </c>
      <c r="T17" s="9" t="str">
        <f>IF(OR(O17="",S17=""),"",O17*S17)</f>
        <v/>
      </c>
      <c r="U17" s="6">
        <f>IFERROR(L17/M17,"")</f>
        <v>0.33222222222222225</v>
      </c>
      <c r="V17" s="6">
        <f>IFERROR(L17/O17*100,"")</f>
        <v>0.19542483660130719</v>
      </c>
      <c r="W17" s="6" t="str">
        <f>IFERROR(L17/T17,"")</f>
        <v/>
      </c>
      <c r="X17" s="10"/>
      <c r="Y17" s="8"/>
      <c r="Z17" s="7" t="s">
        <v>45</v>
      </c>
      <c r="AA17" s="7" t="s">
        <v>45</v>
      </c>
      <c r="AB17" s="7" t="s">
        <v>145</v>
      </c>
      <c r="AC17" s="7" t="str">
        <f>IF(A17="","",IF(AND(H17&lt;&gt;"",M17&lt;&gt;"",N17&lt;&gt;"",P17=3,Z17="Yes",AA17="Yes"),"High",IF(AND(H17&lt;&gt;"",M17&lt;&gt;"",N17&lt;&gt;""),"Medium","Low")))</f>
        <v>High</v>
      </c>
      <c r="AD17" s="7" t="str">
        <f>IF(AND(P17&gt;=3,Z17="Yes",AA17="Yes",O17&lt;&gt;"",L17&lt;&gt;""),"Include","Exclude")</f>
        <v>Include</v>
      </c>
      <c r="AE17" s="6">
        <f>IF(A17="","",IF(OR(ListingsTable[[#This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17" s="11">
        <f>IF(AD17="Include",V17*AE17,"")</f>
        <v>0.20128758169934641</v>
      </c>
      <c r="AG17" s="71">
        <f>IF(AF17="","",COUNTIFS($AF$2:$AF$76,"&lt;"&amp;AF17,$AD$2:$AD$76,"Include")+COUNTIFS($AF$2:AF17,AF17,$AD$2:AD17,"Include"))</f>
        <v>16</v>
      </c>
      <c r="AH17" s="71"/>
      <c r="AI17" s="6"/>
    </row>
    <row r="18" spans="1:35" s="24" customFormat="1" ht="44">
      <c r="A18" s="5">
        <v>46185</v>
      </c>
      <c r="B18" s="6" t="s">
        <v>60</v>
      </c>
      <c r="C18" s="6" t="s">
        <v>158</v>
      </c>
      <c r="D18" s="6" t="s">
        <v>208</v>
      </c>
      <c r="E18" s="12" t="s">
        <v>159</v>
      </c>
      <c r="F18" s="7">
        <v>18.47</v>
      </c>
      <c r="G18" s="7"/>
      <c r="H18" s="7">
        <f>IF(F18="","",IF(G18="",F18,G18))</f>
        <v>18.47</v>
      </c>
      <c r="I18" s="6" t="s">
        <v>44</v>
      </c>
      <c r="J18" s="7">
        <v>0</v>
      </c>
      <c r="K18" s="7">
        <v>0</v>
      </c>
      <c r="L18" s="7">
        <f>IF(H18="","",IF(I18="Grocery add-on",H18,H18+N(J18)+N(K18)))</f>
        <v>18.47</v>
      </c>
      <c r="M18" s="8">
        <v>45</v>
      </c>
      <c r="N18" s="8">
        <v>200</v>
      </c>
      <c r="O18" s="8">
        <f>IF(OR(M18="",N18=""),"",M18*N18)</f>
        <v>9000</v>
      </c>
      <c r="P18" s="8">
        <v>3</v>
      </c>
      <c r="Q18" s="8"/>
      <c r="R18" s="8"/>
      <c r="S18" s="9" t="str">
        <f>IF(OR(Q18="",R18=""),"",Q18*R18/1000000)</f>
        <v/>
      </c>
      <c r="T18" s="9" t="str">
        <f>IF(OR(O18="",S18=""),"",O18*S18)</f>
        <v/>
      </c>
      <c r="U18" s="6">
        <f>IFERROR(L18/M18,"")</f>
        <v>0.41044444444444445</v>
      </c>
      <c r="V18" s="6">
        <f>IFERROR(L18/O18*100,"")</f>
        <v>0.20522222222222222</v>
      </c>
      <c r="W18" s="6" t="str">
        <f>IFERROR(L18/T18,"")</f>
        <v/>
      </c>
      <c r="X18" s="10">
        <v>4.4000000000000004</v>
      </c>
      <c r="Y18" s="8">
        <v>1112</v>
      </c>
      <c r="Z18" s="7" t="s">
        <v>45</v>
      </c>
      <c r="AA18" s="7" t="s">
        <v>45</v>
      </c>
      <c r="AB18" s="7" t="s">
        <v>145</v>
      </c>
      <c r="AC18" s="7" t="str">
        <f>IF(A18="","",IF(AND(H18&lt;&gt;"",M18&lt;&gt;"",N18&lt;&gt;"",P18=3,Z18="Yes",AA18="Yes"),"High",IF(AND(H18&lt;&gt;"",M18&lt;&gt;"",N18&lt;&gt;""),"Medium","Low")))</f>
        <v>High</v>
      </c>
      <c r="AD18" s="7" t="str">
        <f>IF(AND(P18&gt;=3,Z18="Yes",AA18="Yes",O18&lt;&gt;"",L18&lt;&gt;""),"Include","Exclude")</f>
        <v>Include</v>
      </c>
      <c r="AE18" s="6">
        <f>IF(A18="","",IF(OR(ListingsTable[[#This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18" s="11">
        <f>IF(AD18="Include",V18*AE18,"")</f>
        <v>0.20522222222222222</v>
      </c>
      <c r="AG18" s="71">
        <f>IF(AF18="","",COUNTIFS($AF$2:$AF$76,"&lt;"&amp;AF18,$AD$2:$AD$76,"Include")+COUNTIFS($AF$2:AF18,AF18,$AD$2:AD18,"Include"))</f>
        <v>17</v>
      </c>
      <c r="AH18" s="71"/>
      <c r="AI18" s="6"/>
    </row>
    <row r="19" spans="1:35" s="24" customFormat="1" ht="44">
      <c r="A19" s="5">
        <v>46185</v>
      </c>
      <c r="B19" s="6" t="s">
        <v>112</v>
      </c>
      <c r="C19" s="6" t="s">
        <v>116</v>
      </c>
      <c r="D19" s="6" t="s">
        <v>128</v>
      </c>
      <c r="E19" s="12" t="s">
        <v>115</v>
      </c>
      <c r="F19" s="7">
        <v>2.99</v>
      </c>
      <c r="G19" s="7"/>
      <c r="H19" s="7">
        <f>IF(F19="","",IF(G19="",F19,G19))</f>
        <v>2.99</v>
      </c>
      <c r="I19" s="6" t="s">
        <v>44</v>
      </c>
      <c r="J19" s="7">
        <v>0</v>
      </c>
      <c r="K19" s="7">
        <v>0</v>
      </c>
      <c r="L19" s="7">
        <f>IF(H19="","",IF(I19="Grocery add-on",H19,H19+N(J19)+N(K19)))</f>
        <v>2.99</v>
      </c>
      <c r="M19" s="8">
        <v>9</v>
      </c>
      <c r="N19" s="8">
        <v>160</v>
      </c>
      <c r="O19" s="8">
        <f>IF(OR(M19="",N19=""),"",M19*N19)</f>
        <v>1440</v>
      </c>
      <c r="P19" s="8">
        <v>3</v>
      </c>
      <c r="Q19" s="8"/>
      <c r="R19" s="8"/>
      <c r="S19" s="9" t="str">
        <f>IF(OR(Q19="",R19=""),"",Q19*R19/1000000)</f>
        <v/>
      </c>
      <c r="T19" s="9" t="str">
        <f>IF(OR(O19="",S19=""),"",O19*S19)</f>
        <v/>
      </c>
      <c r="U19" s="6">
        <f>IFERROR(L19/M19,"")</f>
        <v>0.33222222222222225</v>
      </c>
      <c r="V19" s="6">
        <f>IFERROR(L19/O19*100,"")</f>
        <v>0.2076388888888889</v>
      </c>
      <c r="W19" s="6" t="str">
        <f>IFERROR(L19/T19,"")</f>
        <v/>
      </c>
      <c r="X19" s="10"/>
      <c r="Y19" s="8"/>
      <c r="Z19" s="7" t="s">
        <v>45</v>
      </c>
      <c r="AA19" s="7" t="s">
        <v>45</v>
      </c>
      <c r="AB19" s="7" t="s">
        <v>145</v>
      </c>
      <c r="AC19" s="7" t="str">
        <f>IF(A19="","",IF(AND(H19&lt;&gt;"",M19&lt;&gt;"",N19&lt;&gt;"",P19=3,Z19="Yes",AA19="Yes"),"High",IF(AND(H19&lt;&gt;"",M19&lt;&gt;"",N19&lt;&gt;""),"Medium","Low")))</f>
        <v>High</v>
      </c>
      <c r="AD19" s="7" t="str">
        <f>IF(AND(P19&gt;=3,Z19="Yes",AA19="Yes",O19&lt;&gt;"",L19&lt;&gt;""),"Include","Exclude")</f>
        <v>Include</v>
      </c>
      <c r="AE19" s="6">
        <f>IF(A19="","",IF(OR(ListingsTable[[#This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19" s="11">
        <f>IF(AD19="Include",V19*AE19,"")</f>
        <v>0.21386805555555558</v>
      </c>
      <c r="AG19" s="71">
        <f>IF(AF19="","",COUNTIFS($AF$2:$AF$76,"&lt;"&amp;AF19,$AD$2:$AD$76,"Include")+COUNTIFS($AF$2:AF19,AF19,$AD$2:AD19,"Include"))</f>
        <v>18</v>
      </c>
      <c r="AH19" s="71"/>
      <c r="AI19" s="6"/>
    </row>
    <row r="20" spans="1:35" s="24" customFormat="1" ht="44">
      <c r="A20" s="5">
        <v>46185</v>
      </c>
      <c r="B20" s="6" t="s">
        <v>107</v>
      </c>
      <c r="C20" s="6" t="s">
        <v>106</v>
      </c>
      <c r="D20" s="6" t="s">
        <v>132</v>
      </c>
      <c r="E20" s="12" t="s">
        <v>105</v>
      </c>
      <c r="F20" s="7">
        <v>15.49</v>
      </c>
      <c r="G20" s="7"/>
      <c r="H20" s="7">
        <f>IF(F20="","",IF(G20="",F20,G20))</f>
        <v>15.49</v>
      </c>
      <c r="I20" s="6" t="s">
        <v>44</v>
      </c>
      <c r="J20" s="7">
        <v>0</v>
      </c>
      <c r="K20" s="7">
        <v>0</v>
      </c>
      <c r="L20" s="7">
        <f>IF(H20="","",IF(I20="Grocery add-on",H20,H20+N(J20)+N(K20)))</f>
        <v>15.49</v>
      </c>
      <c r="M20" s="8">
        <v>45</v>
      </c>
      <c r="N20" s="8">
        <v>160</v>
      </c>
      <c r="O20" s="8">
        <f>IF(OR(M20="",N20=""),"",M20*N20)</f>
        <v>7200</v>
      </c>
      <c r="P20" s="8">
        <v>3</v>
      </c>
      <c r="Q20" s="8"/>
      <c r="R20" s="8"/>
      <c r="S20" s="9" t="str">
        <f>IF(OR(Q20="",R20=""),"",Q20*R20/1000000)</f>
        <v/>
      </c>
      <c r="T20" s="9" t="str">
        <f>IF(OR(O20="",S20=""),"",O20*S20)</f>
        <v/>
      </c>
      <c r="U20" s="6">
        <f>IFERROR(L20/M20,"")</f>
        <v>0.34422222222222221</v>
      </c>
      <c r="V20" s="6">
        <f>IFERROR(L20/O20*100,"")</f>
        <v>0.21513888888888888</v>
      </c>
      <c r="W20" s="6" t="str">
        <f>IFERROR(L20/T20,"")</f>
        <v/>
      </c>
      <c r="X20" s="10">
        <v>4.5</v>
      </c>
      <c r="Y20" s="8">
        <v>2</v>
      </c>
      <c r="Z20" s="7" t="s">
        <v>45</v>
      </c>
      <c r="AA20" s="7" t="s">
        <v>45</v>
      </c>
      <c r="AB20" s="7" t="s">
        <v>145</v>
      </c>
      <c r="AC20" s="7" t="str">
        <f>IF(A20="","",IF(AND(H20&lt;&gt;"",M20&lt;&gt;"",N20&lt;&gt;"",P20=3,Z20="Yes",AA20="Yes"),"High",IF(AND(H20&lt;&gt;"",M20&lt;&gt;"",N20&lt;&gt;""),"Medium","Low")))</f>
        <v>High</v>
      </c>
      <c r="AD20" s="7" t="str">
        <f>IF(AND(P20&gt;=3,Z20="Yes",AA20="Yes",O20&lt;&gt;"",L20&lt;&gt;""),"Include","Exclude")</f>
        <v>Include</v>
      </c>
      <c r="AE20" s="6">
        <f>IF(A20="","",IF(OR(ListingsTable[[#This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0" s="11">
        <f>IF(AD20="Include",V20*AE20,"")</f>
        <v>0.21513888888888888</v>
      </c>
      <c r="AG20" s="71">
        <f>IF(AF20="","",COUNTIFS($AF$2:$AF$76,"&lt;"&amp;AF20,$AD$2:$AD$76,"Include")+COUNTIFS($AF$2:AF20,AF20,$AD$2:AD20,"Include"))</f>
        <v>19</v>
      </c>
      <c r="AH20" s="71"/>
      <c r="AI20" s="6"/>
    </row>
    <row r="21" spans="1:35" s="24" customFormat="1" ht="44">
      <c r="A21" s="5">
        <v>46188</v>
      </c>
      <c r="B21" s="6" t="s">
        <v>60</v>
      </c>
      <c r="C21" s="6" t="s">
        <v>178</v>
      </c>
      <c r="D21" s="6" t="s">
        <v>179</v>
      </c>
      <c r="E21" s="12" t="s">
        <v>180</v>
      </c>
      <c r="F21" s="7">
        <v>16.989999999999998</v>
      </c>
      <c r="G21" s="7"/>
      <c r="H21" s="7">
        <f>IF(F21="","",IF(G21="",F21,G21))</f>
        <v>16.989999999999998</v>
      </c>
      <c r="I21" s="6" t="s">
        <v>44</v>
      </c>
      <c r="J21" s="7">
        <v>0</v>
      </c>
      <c r="K21" s="7">
        <v>0</v>
      </c>
      <c r="L21" s="7">
        <f>IF(H21="","",IF(I21="Grocery add-on",H21,H21+N(J21)+N(K21)))</f>
        <v>16.989999999999998</v>
      </c>
      <c r="M21" s="8">
        <v>60</v>
      </c>
      <c r="N21" s="8">
        <v>130</v>
      </c>
      <c r="O21" s="8">
        <f>IF(OR(M21="",N21=""),"",M21*N21)</f>
        <v>7800</v>
      </c>
      <c r="P21" s="8">
        <v>3</v>
      </c>
      <c r="Q21" s="8"/>
      <c r="R21" s="8"/>
      <c r="S21" s="9" t="str">
        <f>IF(OR(Q21="",R21=""),"",Q21*R21/1000000)</f>
        <v/>
      </c>
      <c r="T21" s="9" t="str">
        <f>IF(OR(O21="",S21=""),"",O21*S21)</f>
        <v/>
      </c>
      <c r="U21" s="6">
        <f>IFERROR(L21/M21,"")</f>
        <v>0.28316666666666662</v>
      </c>
      <c r="V21" s="6">
        <f>IFERROR(L21/O21*100,"")</f>
        <v>0.21782051282051279</v>
      </c>
      <c r="W21" s="6" t="str">
        <f>IFERROR(L21/T21,"")</f>
        <v/>
      </c>
      <c r="X21" s="10">
        <v>4.2</v>
      </c>
      <c r="Y21" s="8">
        <v>38</v>
      </c>
      <c r="Z21" s="7" t="s">
        <v>45</v>
      </c>
      <c r="AA21" s="7" t="s">
        <v>45</v>
      </c>
      <c r="AB21" s="7" t="s">
        <v>145</v>
      </c>
      <c r="AC21" s="7" t="str">
        <f>IF(A21="","",IF(AND(H21&lt;&gt;"",M21&lt;&gt;"",N21&lt;&gt;"",P21=3,Z21="Yes",AA21="Yes"),"High",IF(AND(H21&lt;&gt;"",M21&lt;&gt;"",N21&lt;&gt;""),"Medium","Low")))</f>
        <v>High</v>
      </c>
      <c r="AD21" s="7" t="str">
        <f>IF(AND(P21&gt;=3,Z21="Yes",AA21="Yes",O21&lt;&gt;"",L21&lt;&gt;""),"Include","Exclude")</f>
        <v>Include</v>
      </c>
      <c r="AE21" s="6">
        <f>IF(A21="","",IF(OR(ListingsTable[[#This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1" s="11">
        <f>IF(AD21="Include",V21*AE21,"")</f>
        <v>0.21782051282051279</v>
      </c>
      <c r="AG21" s="71">
        <f>IF(AF21="","",COUNTIFS($AF$2:$AF$76,"&lt;"&amp;AF21,$AD$2:$AD$76,"Include")+COUNTIFS($AF$2:AF21,AF21,$AD$2:AD21,"Include"))</f>
        <v>20</v>
      </c>
      <c r="AH21" s="71"/>
      <c r="AI21" s="6"/>
    </row>
    <row r="22" spans="1:35" s="24" customFormat="1" ht="44">
      <c r="A22" s="5">
        <v>46188</v>
      </c>
      <c r="B22" s="6" t="s">
        <v>60</v>
      </c>
      <c r="C22" s="6" t="s">
        <v>223</v>
      </c>
      <c r="D22" s="6" t="s">
        <v>215</v>
      </c>
      <c r="E22" s="12" t="s">
        <v>216</v>
      </c>
      <c r="F22" s="7">
        <v>14.99</v>
      </c>
      <c r="G22" s="7"/>
      <c r="H22" s="7">
        <f>IF(F22="","",IF(G22="",F22,G22))</f>
        <v>14.99</v>
      </c>
      <c r="I22" s="6" t="s">
        <v>44</v>
      </c>
      <c r="J22" s="7">
        <v>0</v>
      </c>
      <c r="K22" s="7">
        <v>0</v>
      </c>
      <c r="L22" s="7">
        <f>IF(H22="","",IF(I22="Grocery add-on",H22,H22+N(J22)+N(K22)))</f>
        <v>14.99</v>
      </c>
      <c r="M22" s="8">
        <v>45</v>
      </c>
      <c r="N22" s="8">
        <v>150</v>
      </c>
      <c r="O22" s="8">
        <f>IF(OR(M22="",N22=""),"",M22*N22)</f>
        <v>6750</v>
      </c>
      <c r="P22" s="8">
        <v>3</v>
      </c>
      <c r="Q22" s="8"/>
      <c r="R22" s="8"/>
      <c r="S22" s="9" t="str">
        <f>IF(OR(Q22="",R22=""),"",Q22*R22/1000000)</f>
        <v/>
      </c>
      <c r="T22" s="9" t="str">
        <f>IF(OR(O22="",S22=""),"",O22*S22)</f>
        <v/>
      </c>
      <c r="U22" s="6">
        <f>IFERROR(L22/M22,"")</f>
        <v>0.33311111111111114</v>
      </c>
      <c r="V22" s="6">
        <f>IFERROR(L22/O22*100,"")</f>
        <v>0.22207407407407406</v>
      </c>
      <c r="W22" s="6" t="str">
        <f>IFERROR(L22/T22,"")</f>
        <v/>
      </c>
      <c r="X22" s="10">
        <v>4</v>
      </c>
      <c r="Y22" s="8">
        <v>34</v>
      </c>
      <c r="Z22" s="7" t="s">
        <v>45</v>
      </c>
      <c r="AA22" s="7" t="s">
        <v>45</v>
      </c>
      <c r="AB22" s="7" t="s">
        <v>145</v>
      </c>
      <c r="AC22" s="7" t="str">
        <f>IF(A22="","",IF(AND(H22&lt;&gt;"",M22&lt;&gt;"",N22&lt;&gt;"",P22=3,Z22="Yes",AA22="Yes"),"High",IF(AND(H22&lt;&gt;"",M22&lt;&gt;"",N22&lt;&gt;""),"Medium","Low")))</f>
        <v>High</v>
      </c>
      <c r="AD22" s="7" t="str">
        <f>IF(AND(P22&gt;=3,Z22="Yes",AA22="Yes",O22&lt;&gt;"",L22&lt;&gt;""),"Include","Exclude")</f>
        <v>Include</v>
      </c>
      <c r="AE22" s="6">
        <f>IF(A22="","",IF(OR(ListingsTable[[#This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2" s="11">
        <f>IF(AD22="Include",V22*AE22,"")</f>
        <v>0.22207407407407406</v>
      </c>
      <c r="AG22" s="71">
        <f>IF(AF22="","",COUNTIFS($AF$2:$AF$76,"&lt;"&amp;AF22,$AD$2:$AD$76,"Include")+COUNTIFS($AF$2:AF22,AF22,$AD$2:AD22,"Include"))</f>
        <v>21</v>
      </c>
      <c r="AH22" s="71"/>
      <c r="AI22" s="6"/>
    </row>
    <row r="23" spans="1:35" s="24" customFormat="1" ht="44">
      <c r="A23" s="5">
        <v>46185</v>
      </c>
      <c r="B23" s="6" t="s">
        <v>66</v>
      </c>
      <c r="C23" s="6" t="s">
        <v>87</v>
      </c>
      <c r="D23" s="6" t="s">
        <v>66</v>
      </c>
      <c r="E23" s="12" t="s">
        <v>88</v>
      </c>
      <c r="F23" s="7">
        <v>4</v>
      </c>
      <c r="G23" s="7">
        <v>3.5</v>
      </c>
      <c r="H23" s="7">
        <f>IF(F23="","",IF(G23="",F23,G23))</f>
        <v>3.5</v>
      </c>
      <c r="I23" s="6" t="s">
        <v>44</v>
      </c>
      <c r="J23" s="7">
        <v>0</v>
      </c>
      <c r="K23" s="7">
        <v>0</v>
      </c>
      <c r="L23" s="7">
        <f>IF(H23="","",IF(I23="Grocery add-on",H23,H23+N(J23)+N(K23)))</f>
        <v>3.5</v>
      </c>
      <c r="M23" s="8">
        <v>9</v>
      </c>
      <c r="N23" s="8">
        <v>170</v>
      </c>
      <c r="O23" s="8">
        <f>IF(OR(M23="",N23=""),"",M23*N23)</f>
        <v>1530</v>
      </c>
      <c r="P23" s="8">
        <v>3</v>
      </c>
      <c r="Q23" s="8">
        <v>122</v>
      </c>
      <c r="R23" s="8">
        <v>105</v>
      </c>
      <c r="S23" s="9">
        <f>IF(OR(Q23="",R23=""),"",Q23*R23/1000000)</f>
        <v>1.281E-2</v>
      </c>
      <c r="T23" s="9">
        <f>IF(OR(O23="",S23=""),"",O23*S23)</f>
        <v>19.599299999999999</v>
      </c>
      <c r="U23" s="6">
        <f>IFERROR(L23/M23,"")</f>
        <v>0.3888888888888889</v>
      </c>
      <c r="V23" s="6">
        <f>IFERROR(L23/O23*100,"")</f>
        <v>0.22875816993464054</v>
      </c>
      <c r="W23" s="6">
        <f>IFERROR(L23/T23,"")</f>
        <v>0.1785778063502268</v>
      </c>
      <c r="X23" s="10">
        <v>4.2</v>
      </c>
      <c r="Y23" s="8">
        <v>456</v>
      </c>
      <c r="Z23" s="7" t="s">
        <v>45</v>
      </c>
      <c r="AA23" s="7" t="s">
        <v>45</v>
      </c>
      <c r="AB23" s="7" t="s">
        <v>145</v>
      </c>
      <c r="AC23" s="7" t="str">
        <f>IF(A23="","",IF(AND(H23&lt;&gt;"",M23&lt;&gt;"",N23&lt;&gt;"",P23=3,Z23="Yes",AA23="Yes"),"High",IF(AND(H23&lt;&gt;"",M23&lt;&gt;"",N23&lt;&gt;""),"Medium","Low")))</f>
        <v>High</v>
      </c>
      <c r="AD23" s="7" t="str">
        <f>IF(AND(P23&gt;=3,Z23="Yes",AA23="Yes",O23&lt;&gt;"",L23&lt;&gt;""),"Include","Exclude")</f>
        <v>Include</v>
      </c>
      <c r="AE23" s="6">
        <f>IF(A23="","",IF(OR(ListingsTable[[#This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3" s="11">
        <f>IF(AD23="Include",V23*AE23,"")</f>
        <v>0.22875816993464054</v>
      </c>
      <c r="AG23" s="71">
        <f>IF(AF23="","",COUNTIFS($AF$2:$AF$76,"&lt;"&amp;AF23,$AD$2:$AD$76,"Include")+COUNTIFS($AF$2:AF23,AF23,$AD$2:AD23,"Include"))</f>
        <v>22</v>
      </c>
      <c r="AH23" s="71"/>
      <c r="AI23" s="6"/>
    </row>
    <row r="24" spans="1:35" s="24" customFormat="1" ht="44">
      <c r="A24" s="5">
        <v>46188</v>
      </c>
      <c r="B24" s="6" t="s">
        <v>60</v>
      </c>
      <c r="C24" s="6" t="s">
        <v>174</v>
      </c>
      <c r="D24" s="6" t="s">
        <v>136</v>
      </c>
      <c r="E24" s="12" t="s">
        <v>175</v>
      </c>
      <c r="F24" s="7">
        <v>17.72</v>
      </c>
      <c r="G24" s="7"/>
      <c r="H24" s="7">
        <f>IF(F24="","",IF(G24="",F24,G24))</f>
        <v>17.72</v>
      </c>
      <c r="I24" s="6" t="s">
        <v>44</v>
      </c>
      <c r="J24" s="7">
        <v>0</v>
      </c>
      <c r="K24" s="7">
        <v>0</v>
      </c>
      <c r="L24" s="7">
        <f>IF(H24="","",IF(I24="Grocery add-on",H24,H24+N(J24)+N(K24)))</f>
        <v>17.72</v>
      </c>
      <c r="M24" s="8">
        <v>45</v>
      </c>
      <c r="N24" s="8">
        <v>160</v>
      </c>
      <c r="O24" s="8">
        <f>IF(OR(M24="",N24=""),"",M24*N24)</f>
        <v>7200</v>
      </c>
      <c r="P24" s="8">
        <v>3</v>
      </c>
      <c r="Q24" s="8"/>
      <c r="R24" s="8"/>
      <c r="S24" s="9" t="str">
        <f>IF(OR(Q24="",R24=""),"",Q24*R24/1000000)</f>
        <v/>
      </c>
      <c r="T24" s="9" t="str">
        <f>IF(OR(O24="",S24=""),"",O24*S24)</f>
        <v/>
      </c>
      <c r="U24" s="6">
        <f>IFERROR(L24/M24,"")</f>
        <v>0.39377777777777773</v>
      </c>
      <c r="V24" s="6">
        <f>IFERROR(L24/O24*100,"")</f>
        <v>0.24611111111111109</v>
      </c>
      <c r="W24" s="6" t="str">
        <f>IFERROR(L24/T24,"")</f>
        <v/>
      </c>
      <c r="X24" s="10">
        <v>4.5</v>
      </c>
      <c r="Y24" s="8">
        <v>583</v>
      </c>
      <c r="Z24" s="7" t="s">
        <v>45</v>
      </c>
      <c r="AA24" s="7" t="s">
        <v>45</v>
      </c>
      <c r="AB24" s="7" t="s">
        <v>145</v>
      </c>
      <c r="AC24" s="7" t="str">
        <f>IF(A24="","",IF(AND(H24&lt;&gt;"",M24&lt;&gt;"",N24&lt;&gt;"",P24=3,Z24="Yes",AA24="Yes"),"High",IF(AND(H24&lt;&gt;"",M24&lt;&gt;"",N24&lt;&gt;""),"Medium","Low")))</f>
        <v>High</v>
      </c>
      <c r="AD24" s="7" t="str">
        <f>IF(AND(P24&gt;=3,Z24="Yes",AA24="Yes",O24&lt;&gt;"",L24&lt;&gt;""),"Include","Exclude")</f>
        <v>Include</v>
      </c>
      <c r="AE24" s="6">
        <f>IF(A24="","",IF(OR(ListingsTable[[#This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24" s="11">
        <f>IF(AD24="Include",V24*AE24,"")</f>
        <v>0.23380555555555552</v>
      </c>
      <c r="AG24" s="71">
        <f>IF(AF24="","",COUNTIFS($AF$2:$AF$76,"&lt;"&amp;AF24,$AD$2:$AD$76,"Include")+COUNTIFS($AF$2:AF24,AF24,$AD$2:AD24,"Include"))</f>
        <v>23</v>
      </c>
      <c r="AH24" s="71"/>
      <c r="AI24" s="6"/>
    </row>
    <row r="25" spans="1:35" s="24" customFormat="1" ht="44">
      <c r="A25" s="5">
        <v>46188</v>
      </c>
      <c r="B25" s="6" t="s">
        <v>60</v>
      </c>
      <c r="C25" s="6" t="s">
        <v>176</v>
      </c>
      <c r="D25" s="6" t="s">
        <v>131</v>
      </c>
      <c r="E25" s="12" t="s">
        <v>177</v>
      </c>
      <c r="F25" s="7">
        <v>18.96</v>
      </c>
      <c r="G25" s="7"/>
      <c r="H25" s="7">
        <f>IF(F25="","",IF(G25="",F25,G25))</f>
        <v>18.96</v>
      </c>
      <c r="I25" s="6" t="s">
        <v>44</v>
      </c>
      <c r="J25" s="7">
        <v>0</v>
      </c>
      <c r="K25" s="7">
        <v>0</v>
      </c>
      <c r="L25" s="7">
        <f>IF(H25="","",IF(I25="Grocery add-on",H25,H25+N(J25)+N(K25)))</f>
        <v>18.96</v>
      </c>
      <c r="M25" s="8">
        <v>54</v>
      </c>
      <c r="N25" s="8">
        <v>150</v>
      </c>
      <c r="O25" s="8">
        <f>IF(OR(M25="",N25=""),"",M25*N25)</f>
        <v>8100</v>
      </c>
      <c r="P25" s="8">
        <v>3</v>
      </c>
      <c r="Q25" s="8"/>
      <c r="R25" s="8"/>
      <c r="S25" s="9" t="str">
        <f>IF(OR(Q25="",R25=""),"",Q25*R25/1000000)</f>
        <v/>
      </c>
      <c r="T25" s="9" t="str">
        <f>IF(OR(O25="",S25=""),"",O25*S25)</f>
        <v/>
      </c>
      <c r="U25" s="6">
        <f>IFERROR(L25/M25,"")</f>
        <v>0.35111111111111115</v>
      </c>
      <c r="V25" s="6">
        <f>IFERROR(L25/O25*100,"")</f>
        <v>0.2340740740740741</v>
      </c>
      <c r="W25" s="6" t="str">
        <f>IFERROR(L25/T25,"")</f>
        <v/>
      </c>
      <c r="X25" s="10">
        <v>4.3</v>
      </c>
      <c r="Y25" s="8">
        <v>1690</v>
      </c>
      <c r="Z25" s="7" t="s">
        <v>45</v>
      </c>
      <c r="AA25" s="7" t="s">
        <v>45</v>
      </c>
      <c r="AB25" s="7" t="s">
        <v>145</v>
      </c>
      <c r="AC25" s="7" t="str">
        <f>IF(A25="","",IF(AND(H25&lt;&gt;"",M25&lt;&gt;"",N25&lt;&gt;"",P25=3,Z25="Yes",AA25="Yes"),"High",IF(AND(H25&lt;&gt;"",M25&lt;&gt;"",N25&lt;&gt;""),"Medium","Low")))</f>
        <v>High</v>
      </c>
      <c r="AD25" s="7" t="str">
        <f>IF(AND(P25&gt;=3,Z25="Yes",AA25="Yes",O25&lt;&gt;"",L25&lt;&gt;""),"Include","Exclude")</f>
        <v>Include</v>
      </c>
      <c r="AE25" s="6">
        <f>IF(A25="","",IF(OR(ListingsTable[[#This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5" s="11">
        <f>IF(AD25="Include",V25*AE25,"")</f>
        <v>0.2340740740740741</v>
      </c>
      <c r="AG25" s="71">
        <f>IF(AF25="","",COUNTIFS($AF$2:$AF$76,"&lt;"&amp;AF25,$AD$2:$AD$76,"Include")+COUNTIFS($AF$2:AF25,AF25,$AD$2:AD25,"Include"))</f>
        <v>24</v>
      </c>
      <c r="AH25" s="71"/>
      <c r="AI25" s="6"/>
    </row>
    <row r="26" spans="1:35" s="24" customFormat="1" ht="44">
      <c r="A26" s="5">
        <v>46184</v>
      </c>
      <c r="B26" s="6" t="s">
        <v>60</v>
      </c>
      <c r="C26" s="6" t="s">
        <v>81</v>
      </c>
      <c r="D26" s="6" t="s">
        <v>133</v>
      </c>
      <c r="E26" s="29" t="s">
        <v>82</v>
      </c>
      <c r="F26" s="7">
        <v>8.5</v>
      </c>
      <c r="G26" s="7"/>
      <c r="H26" s="7">
        <f>IF(F26="","",IF(G26="",F26,G26))</f>
        <v>8.5</v>
      </c>
      <c r="I26" s="6" t="s">
        <v>44</v>
      </c>
      <c r="J26" s="7">
        <v>0</v>
      </c>
      <c r="K26" s="7">
        <v>0</v>
      </c>
      <c r="L26" s="7">
        <f>IF(H26="","",IF(I26="Grocery add-on",H26,H26+N(J26)+N(K26)))</f>
        <v>8.5</v>
      </c>
      <c r="M26" s="8">
        <v>24</v>
      </c>
      <c r="N26" s="8">
        <v>150</v>
      </c>
      <c r="O26" s="8">
        <f>IF(OR(M26="",N26=""),"",M26*N26)</f>
        <v>3600</v>
      </c>
      <c r="P26" s="8">
        <v>3</v>
      </c>
      <c r="Q26" s="8"/>
      <c r="R26" s="8"/>
      <c r="S26" s="9" t="str">
        <f>IF(OR(Q26="",R26=""),"",Q26*R26/1000000)</f>
        <v/>
      </c>
      <c r="T26" s="9" t="str">
        <f>IF(OR(O26="",S26=""),"",O26*S26)</f>
        <v/>
      </c>
      <c r="U26" s="6">
        <f>IFERROR(L26/M26,"")</f>
        <v>0.35416666666666669</v>
      </c>
      <c r="V26" s="6">
        <f>IFERROR(L26/O26*100,"")</f>
        <v>0.2361111111111111</v>
      </c>
      <c r="W26" s="6" t="str">
        <f>IFERROR(L26/T26,"")</f>
        <v/>
      </c>
      <c r="X26" s="10">
        <v>4.3</v>
      </c>
      <c r="Y26" s="8">
        <v>22761</v>
      </c>
      <c r="Z26" s="7" t="s">
        <v>45</v>
      </c>
      <c r="AA26" s="7" t="s">
        <v>45</v>
      </c>
      <c r="AB26" s="7" t="s">
        <v>145</v>
      </c>
      <c r="AC26" s="7" t="str">
        <f>IF(A26="","",IF(AND(H26&lt;&gt;"",M26&lt;&gt;"",N26&lt;&gt;"",P26=3,Z26="Yes",AA26="Yes"),"High",IF(AND(H26&lt;&gt;"",M26&lt;&gt;"",N26&lt;&gt;""),"Medium","Low")))</f>
        <v>High</v>
      </c>
      <c r="AD26" s="7" t="str">
        <f>IF(AND(P26&gt;=3,Z26="Yes",AA26="Yes",O26&lt;&gt;"",L26&lt;&gt;""),"Include","Exclude")</f>
        <v>Include</v>
      </c>
      <c r="AE26" s="6">
        <f>IF(A26="","",IF(OR(ListingsTable[[#This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6" s="11">
        <f>IF(AD26="Include",V26*AE26,"")</f>
        <v>0.2361111111111111</v>
      </c>
      <c r="AG26" s="71">
        <f>IF(AF26="","",COUNTIFS($AF$2:$AF$76,"&lt;"&amp;AF26,$AD$2:$AD$76,"Include")+COUNTIFS($AF$2:AF26,AF26,$AD$2:AD26,"Include"))</f>
        <v>25</v>
      </c>
      <c r="AH26" s="71"/>
      <c r="AI26" s="6"/>
    </row>
    <row r="27" spans="1:35" s="24" customFormat="1" ht="44">
      <c r="A27" s="5">
        <v>46188</v>
      </c>
      <c r="B27" s="6" t="s">
        <v>60</v>
      </c>
      <c r="C27" s="6" t="s">
        <v>172</v>
      </c>
      <c r="D27" s="6" t="s">
        <v>208</v>
      </c>
      <c r="E27" s="12" t="s">
        <v>173</v>
      </c>
      <c r="F27" s="7">
        <v>4.6900000000000004</v>
      </c>
      <c r="G27" s="7"/>
      <c r="H27" s="7">
        <f>IF(F27="","",IF(G27="",F27,G27))</f>
        <v>4.6900000000000004</v>
      </c>
      <c r="I27" s="6" t="s">
        <v>44</v>
      </c>
      <c r="J27" s="7">
        <v>0</v>
      </c>
      <c r="K27" s="7">
        <v>0</v>
      </c>
      <c r="L27" s="7">
        <f>IF(H27="","",IF(I27="Grocery add-on",H27,H27+N(J27)+N(K27)))</f>
        <v>4.6900000000000004</v>
      </c>
      <c r="M27" s="8">
        <v>6</v>
      </c>
      <c r="N27" s="8">
        <v>330</v>
      </c>
      <c r="O27" s="8">
        <f>IF(OR(M27="",N27=""),"",M27*N27)</f>
        <v>1980</v>
      </c>
      <c r="P27" s="8">
        <v>3</v>
      </c>
      <c r="Q27" s="8"/>
      <c r="R27" s="8"/>
      <c r="S27" s="9" t="str">
        <f>IF(OR(Q27="",R27=""),"",Q27*R27/1000000)</f>
        <v/>
      </c>
      <c r="T27" s="9" t="str">
        <f>IF(OR(O27="",S27=""),"",O27*S27)</f>
        <v/>
      </c>
      <c r="U27" s="6">
        <f>IFERROR(L27/M27,"")</f>
        <v>0.78166666666666673</v>
      </c>
      <c r="V27" s="6">
        <f>IFERROR(L27/O27*100,"")</f>
        <v>0.2368686868686869</v>
      </c>
      <c r="W27" s="6" t="str">
        <f>IFERROR(L27/T27,"")</f>
        <v/>
      </c>
      <c r="X27" s="10">
        <v>4.4000000000000004</v>
      </c>
      <c r="Y27" s="8">
        <v>241</v>
      </c>
      <c r="Z27" s="7" t="s">
        <v>45</v>
      </c>
      <c r="AA27" s="7" t="s">
        <v>45</v>
      </c>
      <c r="AB27" s="7" t="s">
        <v>145</v>
      </c>
      <c r="AC27" s="7" t="str">
        <f>IF(A27="","",IF(AND(H27&lt;&gt;"",M27&lt;&gt;"",N27&lt;&gt;"",P27=3,Z27="Yes",AA27="Yes"),"High",IF(AND(H27&lt;&gt;"",M27&lt;&gt;"",N27&lt;&gt;""),"Medium","Low")))</f>
        <v>High</v>
      </c>
      <c r="AD27" s="7" t="str">
        <f>IF(AND(P27&gt;=3,Z27="Yes",AA27="Yes",O27&lt;&gt;"",L27&lt;&gt;""),"Include","Exclude")</f>
        <v>Include</v>
      </c>
      <c r="AE27" s="6">
        <f>IF(A27="","",IF(OR(ListingsTable[[#This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7" s="11">
        <f>IF(AD27="Include",V27*AE27,"")</f>
        <v>0.2368686868686869</v>
      </c>
      <c r="AG27" s="71">
        <f>IF(AF27="","",COUNTIFS($AF$2:$AF$76,"&lt;"&amp;AF27,$AD$2:$AD$76,"Include")+COUNTIFS($AF$2:AF27,AF27,$AD$2:AD27,"Include"))</f>
        <v>26</v>
      </c>
      <c r="AH27" s="71"/>
      <c r="AI27" s="6"/>
    </row>
    <row r="28" spans="1:35" s="24" customFormat="1" ht="44" customHeight="1">
      <c r="A28" s="5">
        <v>46184</v>
      </c>
      <c r="B28" s="6" t="s">
        <v>60</v>
      </c>
      <c r="C28" s="6" t="s">
        <v>80</v>
      </c>
      <c r="D28" s="6" t="s">
        <v>208</v>
      </c>
      <c r="E28" s="30" t="s">
        <v>79</v>
      </c>
      <c r="F28" s="7">
        <v>4.5</v>
      </c>
      <c r="G28" s="7"/>
      <c r="H28" s="7">
        <f>IF(F28="","",IF(G28="",F28,G28))</f>
        <v>4.5</v>
      </c>
      <c r="I28" s="6" t="s">
        <v>44</v>
      </c>
      <c r="J28" s="7">
        <v>0</v>
      </c>
      <c r="K28" s="7">
        <v>0</v>
      </c>
      <c r="L28" s="7">
        <f>IF(H28="","",IF(I28="Grocery add-on",H28,H28+N(J28)+N(K28)))</f>
        <v>4.5</v>
      </c>
      <c r="M28" s="8">
        <v>9</v>
      </c>
      <c r="N28" s="8">
        <v>200</v>
      </c>
      <c r="O28" s="8">
        <f>IF(OR(M28="",N28=""),"",M28*N28)</f>
        <v>1800</v>
      </c>
      <c r="P28" s="8">
        <v>3</v>
      </c>
      <c r="Q28" s="8"/>
      <c r="R28" s="8"/>
      <c r="S28" s="9" t="str">
        <f>IF(OR(Q28="",R28=""),"",Q28*R28/1000000)</f>
        <v/>
      </c>
      <c r="T28" s="9" t="str">
        <f>IF(OR(O28="",S28=""),"",O28*S28)</f>
        <v/>
      </c>
      <c r="U28" s="6">
        <f>IFERROR(L28/M28,"")</f>
        <v>0.5</v>
      </c>
      <c r="V28" s="6">
        <f>IFERROR(L28/O28*100,"")</f>
        <v>0.25</v>
      </c>
      <c r="W28" s="6" t="str">
        <f>IFERROR(L28/T28,"")</f>
        <v/>
      </c>
      <c r="X28" s="10">
        <v>4.5</v>
      </c>
      <c r="Y28" s="8">
        <v>9606</v>
      </c>
      <c r="Z28" s="7" t="s">
        <v>45</v>
      </c>
      <c r="AA28" s="7" t="s">
        <v>45</v>
      </c>
      <c r="AB28" s="7" t="s">
        <v>145</v>
      </c>
      <c r="AC28" s="7" t="str">
        <f>IF(A28="","",IF(AND(H28&lt;&gt;"",M28&lt;&gt;"",N28&lt;&gt;"",P28=3,Z28="Yes",AA28="Yes"),"High",IF(AND(H28&lt;&gt;"",M28&lt;&gt;"",N28&lt;&gt;""),"Medium","Low")))</f>
        <v>High</v>
      </c>
      <c r="AD28" s="7" t="str">
        <f>IF(AND(P28&gt;=3,Z28="Yes",AA28="Yes",O28&lt;&gt;"",L28&lt;&gt;""),"Include","Exclude")</f>
        <v>Include</v>
      </c>
      <c r="AE28" s="6">
        <f>IF(A28="","",IF(OR(ListingsTable[[#This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28" s="11">
        <f>IF(AD28="Include",V28*AE28,"")</f>
        <v>0.23749999999999999</v>
      </c>
      <c r="AG28" s="71">
        <f>IF(AF28="","",COUNTIFS($AF$2:$AF$76,"&lt;"&amp;AF28,$AD$2:$AD$76,"Include")+COUNTIFS($AF$2:AF28,AF28,$AD$2:AD28,"Include"))</f>
        <v>27</v>
      </c>
      <c r="AH28" s="71"/>
      <c r="AI28" s="6"/>
    </row>
    <row r="29" spans="1:35" s="24" customFormat="1" ht="44">
      <c r="A29" s="5">
        <v>46188</v>
      </c>
      <c r="B29" s="6" t="s">
        <v>60</v>
      </c>
      <c r="C29" s="6" t="s">
        <v>229</v>
      </c>
      <c r="D29" s="6" t="s">
        <v>191</v>
      </c>
      <c r="E29" s="12" t="s">
        <v>230</v>
      </c>
      <c r="F29" s="7">
        <v>34.99</v>
      </c>
      <c r="G29" s="7"/>
      <c r="H29" s="7">
        <f>IF(F29="","",IF(G29="",F29,G29))</f>
        <v>34.99</v>
      </c>
      <c r="I29" s="6" t="s">
        <v>44</v>
      </c>
      <c r="J29" s="7">
        <v>0</v>
      </c>
      <c r="K29" s="7">
        <v>0</v>
      </c>
      <c r="L29" s="7">
        <f>IF(H29="","",IF(I29="Grocery add-on",H29,H29+N(J29)+N(K29)))</f>
        <v>34.99</v>
      </c>
      <c r="M29" s="8">
        <v>48</v>
      </c>
      <c r="N29" s="8">
        <v>300</v>
      </c>
      <c r="O29" s="8">
        <f>IF(OR(M29="",N29=""),"",M29*N29)</f>
        <v>14400</v>
      </c>
      <c r="P29" s="8">
        <v>3</v>
      </c>
      <c r="Q29" s="8"/>
      <c r="R29" s="8"/>
      <c r="S29" s="9" t="str">
        <f>IF(OR(Q29="",R29=""),"",Q29*R29/1000000)</f>
        <v/>
      </c>
      <c r="T29" s="9" t="str">
        <f>IF(OR(O29="",S29=""),"",O29*S29)</f>
        <v/>
      </c>
      <c r="U29" s="6">
        <f>IFERROR(L29/M29,"")</f>
        <v>0.72895833333333337</v>
      </c>
      <c r="V29" s="6">
        <f>IFERROR(L29/O29*100,"")</f>
        <v>0.24298611111111112</v>
      </c>
      <c r="W29" s="6" t="str">
        <f>IFERROR(L29/T29,"")</f>
        <v/>
      </c>
      <c r="X29" s="10">
        <v>4.4000000000000004</v>
      </c>
      <c r="Y29" s="8">
        <v>109</v>
      </c>
      <c r="Z29" s="7" t="s">
        <v>45</v>
      </c>
      <c r="AA29" s="7" t="s">
        <v>45</v>
      </c>
      <c r="AB29" s="7" t="s">
        <v>145</v>
      </c>
      <c r="AC29" s="7" t="str">
        <f>IF(A29="","",IF(AND(H29&lt;&gt;"",M29&lt;&gt;"",N29&lt;&gt;"",P29=3,Z29="Yes",AA29="Yes"),"High",IF(AND(H29&lt;&gt;"",M29&lt;&gt;"",N29&lt;&gt;""),"Medium","Low")))</f>
        <v>High</v>
      </c>
      <c r="AD29" s="7" t="str">
        <f>IF(AND(P29&gt;=3,Z29="Yes",AA29="Yes",O29&lt;&gt;"",L29&lt;&gt;""),"Include","Exclude")</f>
        <v>Include</v>
      </c>
      <c r="AE29" s="6">
        <f>IF(A29="","",IF(OR(ListingsTable[[#This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29" s="11">
        <f>IF(AD29="Include",V29*AE29,"")</f>
        <v>0.24298611111111112</v>
      </c>
      <c r="AG29" s="71">
        <f>IF(AF29="","",COUNTIFS($AF$2:$AF$76,"&lt;"&amp;AF29,$AD$2:$AD$76,"Include")+COUNTIFS($AF$2:AF29,AF29,$AD$2:AD29,"Include"))</f>
        <v>28</v>
      </c>
      <c r="AH29" s="71"/>
      <c r="AI29" s="6"/>
    </row>
    <row r="30" spans="1:35" s="24" customFormat="1" ht="44">
      <c r="A30" s="5">
        <v>46185</v>
      </c>
      <c r="B30" s="6" t="s">
        <v>68</v>
      </c>
      <c r="C30" s="6" t="s">
        <v>119</v>
      </c>
      <c r="D30" s="6" t="s">
        <v>133</v>
      </c>
      <c r="E30" s="12" t="s">
        <v>120</v>
      </c>
      <c r="F30" s="7">
        <v>8.5</v>
      </c>
      <c r="G30" s="7"/>
      <c r="H30" s="7">
        <f>IF(F30="","",IF(G30="",F30,G30))</f>
        <v>8.5</v>
      </c>
      <c r="I30" s="6" t="s">
        <v>44</v>
      </c>
      <c r="J30" s="7">
        <v>0</v>
      </c>
      <c r="K30" s="7">
        <v>0</v>
      </c>
      <c r="L30" s="7">
        <f>IF(H30="","",IF(I30="Grocery add-on",H30,H30+N(J30)+N(K30)))</f>
        <v>8.5</v>
      </c>
      <c r="M30" s="8">
        <v>24</v>
      </c>
      <c r="N30" s="8">
        <v>150</v>
      </c>
      <c r="O30" s="8">
        <f>IF(OR(M30="",N30=""),"",M30*N30)</f>
        <v>3600</v>
      </c>
      <c r="P30" s="8">
        <v>3</v>
      </c>
      <c r="Q30" s="8"/>
      <c r="R30" s="8"/>
      <c r="S30" s="9" t="str">
        <f>IF(OR(Q30="",R30=""),"",Q30*R30/1000000)</f>
        <v/>
      </c>
      <c r="T30" s="9" t="str">
        <f>IF(OR(O30="",S30=""),"",O30*S30)</f>
        <v/>
      </c>
      <c r="U30" s="6">
        <f>IFERROR(L30/M30,"")</f>
        <v>0.35416666666666669</v>
      </c>
      <c r="V30" s="6">
        <f>IFERROR(L30/O30*100,"")</f>
        <v>0.2361111111111111</v>
      </c>
      <c r="W30" s="6" t="str">
        <f>IFERROR(L30/T30,"")</f>
        <v/>
      </c>
      <c r="X30" s="10"/>
      <c r="Y30" s="8"/>
      <c r="Z30" s="7" t="s">
        <v>45</v>
      </c>
      <c r="AA30" s="7" t="s">
        <v>45</v>
      </c>
      <c r="AB30" s="7" t="s">
        <v>145</v>
      </c>
      <c r="AC30" s="7" t="str">
        <f>IF(A30="","",IF(AND(H30&lt;&gt;"",M30&lt;&gt;"",N30&lt;&gt;"",P30=3,Z30="Yes",AA30="Yes"),"High",IF(AND(H30&lt;&gt;"",M30&lt;&gt;"",N30&lt;&gt;""),"Medium","Low")))</f>
        <v>High</v>
      </c>
      <c r="AD30" s="7" t="str">
        <f>IF(AND(P30&gt;=3,Z30="Yes",AA30="Yes",O30&lt;&gt;"",L30&lt;&gt;""),"Include","Exclude")</f>
        <v>Include</v>
      </c>
      <c r="AE30" s="6">
        <f>IF(A30="","",IF(OR(ListingsTable[[#This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0" s="11">
        <f>IF(AD30="Include",V30*AE30,"")</f>
        <v>0.24319444444444444</v>
      </c>
      <c r="AG30" s="71">
        <f>IF(AF30="","",COUNTIFS($AF$2:$AF$76,"&lt;"&amp;AF30,$AD$2:$AD$76,"Include")+COUNTIFS($AF$2:AF30,AF30,$AD$2:AD30,"Include"))</f>
        <v>29</v>
      </c>
      <c r="AH30" s="71"/>
      <c r="AI30" s="6"/>
    </row>
    <row r="31" spans="1:35" s="24" customFormat="1" ht="66">
      <c r="A31" s="5">
        <v>46185</v>
      </c>
      <c r="B31" s="6" t="s">
        <v>107</v>
      </c>
      <c r="C31" s="6" t="s">
        <v>108</v>
      </c>
      <c r="D31" s="6" t="s">
        <v>134</v>
      </c>
      <c r="E31" s="12" t="s">
        <v>109</v>
      </c>
      <c r="F31" s="7">
        <v>25.69</v>
      </c>
      <c r="G31" s="7"/>
      <c r="H31" s="7">
        <f>IF(F31="","",IF(G31="",F31,G31))</f>
        <v>25.69</v>
      </c>
      <c r="I31" s="6" t="s">
        <v>44</v>
      </c>
      <c r="J31" s="7">
        <v>0</v>
      </c>
      <c r="K31" s="7">
        <v>0</v>
      </c>
      <c r="L31" s="7">
        <f>IF(H31="","",IF(I31="Grocery add-on",H31,H31+N(J31)+N(K31)))</f>
        <v>25.69</v>
      </c>
      <c r="M31" s="8">
        <v>72</v>
      </c>
      <c r="N31" s="8">
        <v>150</v>
      </c>
      <c r="O31" s="8">
        <f>IF(OR(M31="",N31=""),"",M31*N31)</f>
        <v>10800</v>
      </c>
      <c r="P31" s="8">
        <v>3</v>
      </c>
      <c r="Q31" s="8"/>
      <c r="R31" s="8"/>
      <c r="S31" s="9" t="str">
        <f>IF(OR(Q31="",R31=""),"",Q31*R31/1000000)</f>
        <v/>
      </c>
      <c r="T31" s="9" t="str">
        <f>IF(OR(O31="",S31=""),"",O31*S31)</f>
        <v/>
      </c>
      <c r="U31" s="6">
        <f>IFERROR(L31/M31,"")</f>
        <v>0.3568055555555556</v>
      </c>
      <c r="V31" s="6">
        <f>IFERROR(L31/O31*100,"")</f>
        <v>0.23787037037037037</v>
      </c>
      <c r="W31" s="6" t="str">
        <f>IFERROR(L31/T31,"")</f>
        <v/>
      </c>
      <c r="X31" s="10"/>
      <c r="Y31" s="8"/>
      <c r="Z31" s="7" t="s">
        <v>45</v>
      </c>
      <c r="AA31" s="7" t="s">
        <v>45</v>
      </c>
      <c r="AB31" s="7" t="s">
        <v>145</v>
      </c>
      <c r="AC31" s="7" t="str">
        <f>IF(A31="","",IF(AND(H31&lt;&gt;"",M31&lt;&gt;"",N31&lt;&gt;"",P31=3,Z31="Yes",AA31="Yes"),"High",IF(AND(H31&lt;&gt;"",M31&lt;&gt;"",N31&lt;&gt;""),"Medium","Low")))</f>
        <v>High</v>
      </c>
      <c r="AD31" s="7" t="str">
        <f>IF(AND(P31&gt;=3,Z31="Yes",AA31="Yes",O31&lt;&gt;"",L31&lt;&gt;""),"Include","Exclude")</f>
        <v>Include</v>
      </c>
      <c r="AE31" s="6">
        <f>IF(A31="","",IF(OR(ListingsTable[[#This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1" s="11">
        <f>IF(AD31="Include",V31*AE31,"")</f>
        <v>0.24500648148148149</v>
      </c>
      <c r="AG31" s="71">
        <f>IF(AF31="","",COUNTIFS($AF$2:$AF$76,"&lt;"&amp;AF31,$AD$2:$AD$76,"Include")+COUNTIFS($AF$2:AF31,AF31,$AD$2:AD31,"Include"))</f>
        <v>30</v>
      </c>
      <c r="AH31" s="71"/>
      <c r="AI31" s="6"/>
    </row>
    <row r="32" spans="1:35" s="24" customFormat="1" ht="44">
      <c r="A32" s="5">
        <v>46185</v>
      </c>
      <c r="B32" s="6" t="s">
        <v>148</v>
      </c>
      <c r="C32" s="6" t="s">
        <v>149</v>
      </c>
      <c r="D32" s="6" t="s">
        <v>150</v>
      </c>
      <c r="E32" s="12" t="s">
        <v>151</v>
      </c>
      <c r="F32" s="7">
        <v>22.99</v>
      </c>
      <c r="G32" s="7"/>
      <c r="H32" s="7">
        <f>IF(F32="","",IF(G32="",F32,G32))</f>
        <v>22.99</v>
      </c>
      <c r="I32" s="6" t="s">
        <v>44</v>
      </c>
      <c r="J32" s="7">
        <v>0</v>
      </c>
      <c r="K32" s="7">
        <v>0</v>
      </c>
      <c r="L32" s="7">
        <f>IF(H32="","",IF(I32="Grocery add-on",H32,H32+N(J32)+N(K32)))</f>
        <v>22.99</v>
      </c>
      <c r="M32" s="8">
        <v>40</v>
      </c>
      <c r="N32" s="8">
        <v>240</v>
      </c>
      <c r="O32" s="8">
        <f>IF(OR(M32="",N32=""),"",M32*N32)</f>
        <v>9600</v>
      </c>
      <c r="P32" s="8">
        <v>3</v>
      </c>
      <c r="Q32" s="8">
        <v>108</v>
      </c>
      <c r="R32" s="8">
        <v>124</v>
      </c>
      <c r="S32" s="9">
        <f>IF(OR(Q32="",R32=""),"",Q32*R32/1000000)</f>
        <v>1.3391999999999999E-2</v>
      </c>
      <c r="T32" s="9">
        <f>IF(OR(O32="",S32=""),"",O32*S32)</f>
        <v>128.56319999999999</v>
      </c>
      <c r="U32" s="6">
        <f>IFERROR(L32/M32,"")</f>
        <v>0.57474999999999998</v>
      </c>
      <c r="V32" s="6">
        <f>IFERROR(L32/O32*100,"")</f>
        <v>0.23947916666666666</v>
      </c>
      <c r="W32" s="6">
        <f>IFERROR(L32/T32,"")</f>
        <v>0.1788225557546794</v>
      </c>
      <c r="X32" s="10"/>
      <c r="Y32" s="8"/>
      <c r="Z32" s="7" t="s">
        <v>45</v>
      </c>
      <c r="AA32" s="7" t="s">
        <v>45</v>
      </c>
      <c r="AB32" s="7" t="s">
        <v>145</v>
      </c>
      <c r="AC32" s="7" t="str">
        <f>IF(A32="","",IF(AND(H32&lt;&gt;"",M32&lt;&gt;"",N32&lt;&gt;"",P32=3,Z32="Yes",AA32="Yes"),"High",IF(AND(H32&lt;&gt;"",M32&lt;&gt;"",N32&lt;&gt;""),"Medium","Low")))</f>
        <v>High</v>
      </c>
      <c r="AD32" s="7" t="str">
        <f>IF(AND(P32&gt;=3,Z32="Yes",AA32="Yes",O32&lt;&gt;"",L32&lt;&gt;""),"Include","Exclude")</f>
        <v>Include</v>
      </c>
      <c r="AE32" s="6">
        <f>IF(A32="","",IF(OR(ListingsTable[[#This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2" s="11">
        <f>IF(AD32="Include",V32*AE32,"")</f>
        <v>0.24666354166666665</v>
      </c>
      <c r="AG32" s="71">
        <f>IF(AF32="","",COUNTIFS($AF$2:$AF$76,"&lt;"&amp;AF32,$AD$2:$AD$76,"Include")+COUNTIFS($AF$2:AF32,AF32,$AD$2:AD32,"Include"))</f>
        <v>31</v>
      </c>
      <c r="AH32" s="71"/>
      <c r="AI32" s="6"/>
    </row>
    <row r="33" spans="1:35" s="24" customFormat="1" ht="44">
      <c r="A33" s="5">
        <v>46185</v>
      </c>
      <c r="B33" s="6" t="s">
        <v>60</v>
      </c>
      <c r="C33" s="6" t="s">
        <v>156</v>
      </c>
      <c r="D33" s="6" t="s">
        <v>134</v>
      </c>
      <c r="E33" s="12" t="s">
        <v>157</v>
      </c>
      <c r="F33" s="7">
        <v>22.99</v>
      </c>
      <c r="G33" s="7"/>
      <c r="H33" s="7">
        <f>IF(F33="","",IF(G33="",F33,G33))</f>
        <v>22.99</v>
      </c>
      <c r="I33" s="6" t="s">
        <v>44</v>
      </c>
      <c r="J33" s="7">
        <v>0</v>
      </c>
      <c r="K33" s="7">
        <v>0</v>
      </c>
      <c r="L33" s="7">
        <f>IF(H33="","",IF(I33="Grocery add-on",H33,H33+N(J33)+N(K33)))</f>
        <v>22.99</v>
      </c>
      <c r="M33" s="8">
        <v>60</v>
      </c>
      <c r="N33" s="8">
        <v>150</v>
      </c>
      <c r="O33" s="8">
        <f>IF(OR(M33="",N33=""),"",M33*N33)</f>
        <v>9000</v>
      </c>
      <c r="P33" s="8">
        <v>3</v>
      </c>
      <c r="Q33" s="8"/>
      <c r="R33" s="8"/>
      <c r="S33" s="9" t="str">
        <f>IF(OR(Q33="",R33=""),"",Q33*R33/1000000)</f>
        <v/>
      </c>
      <c r="T33" s="9" t="str">
        <f>IF(OR(O33="",S33=""),"",O33*S33)</f>
        <v/>
      </c>
      <c r="U33" s="6">
        <f>IFERROR(L33/M33,"")</f>
        <v>0.38316666666666666</v>
      </c>
      <c r="V33" s="6">
        <f>IFERROR(L33/O33*100,"")</f>
        <v>0.25544444444444442</v>
      </c>
      <c r="W33" s="6" t="str">
        <f>IFERROR(L33/T33,"")</f>
        <v/>
      </c>
      <c r="X33" s="10">
        <v>4.4000000000000004</v>
      </c>
      <c r="Y33" s="8">
        <v>10165</v>
      </c>
      <c r="Z33" s="7" t="s">
        <v>45</v>
      </c>
      <c r="AA33" s="7" t="s">
        <v>45</v>
      </c>
      <c r="AB33" s="7" t="s">
        <v>145</v>
      </c>
      <c r="AC33" s="7" t="str">
        <f>IF(A33="","",IF(AND(H33&lt;&gt;"",M33&lt;&gt;"",N33&lt;&gt;"",P33=3,Z33="Yes",AA33="Yes"),"High",IF(AND(H33&lt;&gt;"",M33&lt;&gt;"",N33&lt;&gt;""),"Medium","Low")))</f>
        <v>High</v>
      </c>
      <c r="AD33" s="7" t="str">
        <f>IF(AND(P33&gt;=3,Z33="Yes",AA33="Yes",O33&lt;&gt;"",L33&lt;&gt;""),"Include","Exclude")</f>
        <v>Include</v>
      </c>
      <c r="AE33" s="6">
        <f>IF(A33="","",IF(OR(ListingsTable[[#This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3" s="11">
        <f>IF(AD33="Include",V33*AE33,"")</f>
        <v>0.25544444444444442</v>
      </c>
      <c r="AG33" s="71">
        <f>IF(AF33="","",COUNTIFS($AF$2:$AF$76,"&lt;"&amp;AF33,$AD$2:$AD$76,"Include")+COUNTIFS($AF$2:AF33,AF33,$AD$2:AD33,"Include"))</f>
        <v>32</v>
      </c>
      <c r="AH33" s="71"/>
      <c r="AI33" s="6"/>
    </row>
    <row r="34" spans="1:35" s="24" customFormat="1" ht="44">
      <c r="A34" s="5">
        <v>46185</v>
      </c>
      <c r="B34" s="6" t="s">
        <v>62</v>
      </c>
      <c r="C34" s="6" t="s">
        <v>100</v>
      </c>
      <c r="D34" s="6" t="s">
        <v>62</v>
      </c>
      <c r="E34" s="12" t="s">
        <v>99</v>
      </c>
      <c r="F34" s="7">
        <v>3.75</v>
      </c>
      <c r="G34" s="7"/>
      <c r="H34" s="7">
        <f>IF(F34="","",IF(G34="",F34,G34))</f>
        <v>3.75</v>
      </c>
      <c r="I34" s="6" t="s">
        <v>44</v>
      </c>
      <c r="J34" s="7">
        <v>0</v>
      </c>
      <c r="K34" s="7">
        <v>0</v>
      </c>
      <c r="L34" s="7">
        <f>IF(H34="","",IF(I34="Grocery add-on",H34,H34+N(J34)+N(K34)))</f>
        <v>3.75</v>
      </c>
      <c r="M34" s="8">
        <v>6</v>
      </c>
      <c r="N34" s="8">
        <v>240</v>
      </c>
      <c r="O34" s="8">
        <f>IF(OR(M34="",N34=""),"",M34*N34)</f>
        <v>1440</v>
      </c>
      <c r="P34" s="8">
        <v>3</v>
      </c>
      <c r="Q34" s="8"/>
      <c r="R34" s="8"/>
      <c r="S34" s="9" t="str">
        <f>IF(OR(Q34="",R34=""),"",Q34*R34/1000000)</f>
        <v/>
      </c>
      <c r="T34" s="9" t="str">
        <f>IF(OR(O34="",S34=""),"",O34*S34)</f>
        <v/>
      </c>
      <c r="U34" s="6">
        <f>IFERROR(L34/M34,"")</f>
        <v>0.625</v>
      </c>
      <c r="V34" s="6">
        <f>IFERROR(L34/O34*100,"")</f>
        <v>0.26041666666666663</v>
      </c>
      <c r="W34" s="6" t="str">
        <f>IFERROR(L34/T34,"")</f>
        <v/>
      </c>
      <c r="X34" s="10">
        <v>3.9</v>
      </c>
      <c r="Y34" s="8">
        <v>259</v>
      </c>
      <c r="Z34" s="7" t="s">
        <v>45</v>
      </c>
      <c r="AA34" s="7" t="s">
        <v>45</v>
      </c>
      <c r="AB34" s="7" t="s">
        <v>145</v>
      </c>
      <c r="AC34" s="7" t="str">
        <f>IF(A34="","",IF(AND(H34&lt;&gt;"",M34&lt;&gt;"",N34&lt;&gt;"",P34=3,Z34="Yes",AA34="Yes"),"High",IF(AND(H34&lt;&gt;"",M34&lt;&gt;"",N34&lt;&gt;""),"Medium","Low")))</f>
        <v>High</v>
      </c>
      <c r="AD34" s="7" t="str">
        <f>IF(AND(P34&gt;=3,Z34="Yes",AA34="Yes",O34&lt;&gt;"",L34&lt;&gt;""),"Include","Exclude")</f>
        <v>Include</v>
      </c>
      <c r="AE34" s="6">
        <f>IF(A34="","",IF(OR(ListingsTable[[#This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4" s="11">
        <f>IF(AD34="Include",V34*AE34,"")</f>
        <v>0.26041666666666663</v>
      </c>
      <c r="AG34" s="71">
        <f>IF(AF34="","",COUNTIFS($AF$2:$AF$76,"&lt;"&amp;AF34,$AD$2:$AD$76,"Include")+COUNTIFS($AF$2:AF34,AF34,$AD$2:AD34,"Include"))</f>
        <v>33</v>
      </c>
      <c r="AH34" s="71"/>
      <c r="AI34" s="6"/>
    </row>
    <row r="35" spans="1:35" s="24" customFormat="1" ht="44">
      <c r="A35" s="5">
        <v>46188</v>
      </c>
      <c r="B35" s="6" t="s">
        <v>60</v>
      </c>
      <c r="C35" s="6" t="s">
        <v>194</v>
      </c>
      <c r="D35" s="6" t="s">
        <v>193</v>
      </c>
      <c r="E35" s="12" t="s">
        <v>195</v>
      </c>
      <c r="F35" s="7">
        <v>9.99</v>
      </c>
      <c r="G35" s="7"/>
      <c r="H35" s="7">
        <f>IF(F35="","",IF(G35="",F35,G35))</f>
        <v>9.99</v>
      </c>
      <c r="I35" s="6" t="s">
        <v>44</v>
      </c>
      <c r="J35" s="7">
        <v>0</v>
      </c>
      <c r="K35" s="7">
        <v>0</v>
      </c>
      <c r="L35" s="7">
        <f>IF(H35="","",IF(I35="Grocery add-on",H35,H35+N(J35)+N(K35)))</f>
        <v>9.99</v>
      </c>
      <c r="M35" s="8">
        <v>18</v>
      </c>
      <c r="N35" s="8">
        <v>200</v>
      </c>
      <c r="O35" s="8">
        <f>IF(OR(M35="",N35=""),"",M35*N35)</f>
        <v>3600</v>
      </c>
      <c r="P35" s="8">
        <v>3</v>
      </c>
      <c r="Q35" s="8"/>
      <c r="R35" s="8"/>
      <c r="S35" s="9" t="str">
        <f>IF(OR(Q35="",R35=""),"",Q35*R35/1000000)</f>
        <v/>
      </c>
      <c r="T35" s="9" t="str">
        <f>IF(OR(O35="",S35=""),"",O35*S35)</f>
        <v/>
      </c>
      <c r="U35" s="6">
        <f>IFERROR(L35/M35,"")</f>
        <v>0.55500000000000005</v>
      </c>
      <c r="V35" s="6">
        <f>IFERROR(L35/O35*100,"")</f>
        <v>0.27750000000000002</v>
      </c>
      <c r="W35" s="6" t="str">
        <f>IFERROR(L35/T35,"")</f>
        <v/>
      </c>
      <c r="X35" s="10">
        <v>4.5999999999999996</v>
      </c>
      <c r="Y35" s="8">
        <v>20</v>
      </c>
      <c r="Z35" s="7" t="s">
        <v>45</v>
      </c>
      <c r="AA35" s="7" t="s">
        <v>45</v>
      </c>
      <c r="AB35" s="7" t="s">
        <v>145</v>
      </c>
      <c r="AC35" s="7" t="str">
        <f>IF(A35="","",IF(AND(H35&lt;&gt;"",M35&lt;&gt;"",N35&lt;&gt;"",P35=3,Z35="Yes",AA35="Yes"),"High",IF(AND(H35&lt;&gt;"",M35&lt;&gt;"",N35&lt;&gt;""),"Medium","Low")))</f>
        <v>High</v>
      </c>
      <c r="AD35" s="7" t="str">
        <f>IF(AND(P35&gt;=3,Z35="Yes",AA35="Yes",O35&lt;&gt;"",L35&lt;&gt;""),"Include","Exclude")</f>
        <v>Include</v>
      </c>
      <c r="AE35" s="6">
        <f>IF(A35="","",IF(OR(ListingsTable[[#This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35" s="11">
        <f>IF(AD35="Include",V35*AE35,"")</f>
        <v>0.263625</v>
      </c>
      <c r="AG35" s="71">
        <f>IF(AF35="","",COUNTIFS($AF$2:$AF$76,"&lt;"&amp;AF35,$AD$2:$AD$76,"Include")+COUNTIFS($AF$2:AF35,AF35,$AD$2:AD35,"Include"))</f>
        <v>34</v>
      </c>
      <c r="AH35" s="71"/>
      <c r="AI35" s="6"/>
    </row>
    <row r="36" spans="1:35" s="24" customFormat="1" ht="44">
      <c r="A36" s="5">
        <v>46185</v>
      </c>
      <c r="B36" s="6" t="s">
        <v>68</v>
      </c>
      <c r="C36" s="6" t="s">
        <v>118</v>
      </c>
      <c r="D36" s="6" t="s">
        <v>68</v>
      </c>
      <c r="E36" s="12" t="s">
        <v>117</v>
      </c>
      <c r="F36" s="7">
        <v>9.6</v>
      </c>
      <c r="G36" s="7"/>
      <c r="H36" s="7">
        <v>3.75</v>
      </c>
      <c r="I36" s="6" t="s">
        <v>44</v>
      </c>
      <c r="J36" s="7">
        <v>0</v>
      </c>
      <c r="K36" s="7">
        <v>0</v>
      </c>
      <c r="L36" s="7">
        <f>IF(H36="","",IF(I36="Grocery add-on",H36,H36+N(J36)+N(K36)))</f>
        <v>3.75</v>
      </c>
      <c r="M36" s="8">
        <v>9</v>
      </c>
      <c r="N36" s="8">
        <v>160</v>
      </c>
      <c r="O36" s="8">
        <f>IF(OR(M36="",N36=""),"",M36*N36)</f>
        <v>1440</v>
      </c>
      <c r="P36" s="8">
        <v>3</v>
      </c>
      <c r="Q36" s="8"/>
      <c r="R36" s="8"/>
      <c r="S36" s="9" t="str">
        <f>IF(OR(Q36="",R36=""),"",Q36*R36/1000000)</f>
        <v/>
      </c>
      <c r="T36" s="9" t="str">
        <f>IF(OR(O36="",S36=""),"",O36*S36)</f>
        <v/>
      </c>
      <c r="U36" s="6">
        <f>IFERROR(L36/M36,"")</f>
        <v>0.41666666666666669</v>
      </c>
      <c r="V36" s="6">
        <f>IFERROR(L36/O36*100,"")</f>
        <v>0.26041666666666663</v>
      </c>
      <c r="W36" s="6" t="str">
        <f>IFERROR(L36/T36,"")</f>
        <v/>
      </c>
      <c r="X36" s="10"/>
      <c r="Y36" s="8"/>
      <c r="Z36" s="7" t="s">
        <v>45</v>
      </c>
      <c r="AA36" s="7" t="s">
        <v>45</v>
      </c>
      <c r="AB36" s="7" t="s">
        <v>145</v>
      </c>
      <c r="AC36" s="7" t="str">
        <f>IF(A36="","",IF(AND(H36&lt;&gt;"",M36&lt;&gt;"",N36&lt;&gt;"",P36=3,Z36="Yes",AA36="Yes"),"High",IF(AND(H36&lt;&gt;"",M36&lt;&gt;"",N36&lt;&gt;""),"Medium","Low")))</f>
        <v>High</v>
      </c>
      <c r="AD36" s="7" t="str">
        <f>IF(AND(P36&gt;=3,Z36="Yes",AA36="Yes",O36&lt;&gt;"",L36&lt;&gt;""),"Include","Exclude")</f>
        <v>Include</v>
      </c>
      <c r="AE36" s="6">
        <f>IF(A36="","",IF(OR(ListingsTable[[#This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6" s="11">
        <f>IF(AD36="Include",V36*AE36,"")</f>
        <v>0.26822916666666663</v>
      </c>
      <c r="AG36" s="71">
        <f>IF(AF36="","",COUNTIFS($AF$2:$AF$76,"&lt;"&amp;AF36,$AD$2:$AD$76,"Include")+COUNTIFS($AF$2:AF36,AF36,$AD$2:AD36,"Include"))</f>
        <v>35</v>
      </c>
      <c r="AH36" s="71"/>
      <c r="AI36" s="6"/>
    </row>
    <row r="37" spans="1:35" s="24" customFormat="1" ht="44">
      <c r="A37" s="5">
        <v>46184</v>
      </c>
      <c r="B37" s="6" t="s">
        <v>60</v>
      </c>
      <c r="C37" s="6" t="s">
        <v>86</v>
      </c>
      <c r="D37" s="6" t="s">
        <v>135</v>
      </c>
      <c r="E37" s="12" t="s">
        <v>85</v>
      </c>
      <c r="F37" s="7">
        <v>51.99</v>
      </c>
      <c r="G37" s="7"/>
      <c r="H37" s="7">
        <f>IF(F37="","",IF(G37="",F37,G37))</f>
        <v>51.99</v>
      </c>
      <c r="I37" s="6" t="s">
        <v>44</v>
      </c>
      <c r="J37" s="7">
        <v>0</v>
      </c>
      <c r="K37" s="7">
        <v>0</v>
      </c>
      <c r="L37" s="7">
        <f>IF(H37="","",IF(I37="Grocery add-on",H37,H37+N(J37)+N(K37)))</f>
        <v>51.99</v>
      </c>
      <c r="M37" s="8">
        <v>48</v>
      </c>
      <c r="N37" s="8">
        <v>400</v>
      </c>
      <c r="O37" s="8">
        <f>IF(OR(M37="",N37=""),"",M37*N37)</f>
        <v>19200</v>
      </c>
      <c r="P37" s="8">
        <v>3</v>
      </c>
      <c r="Q37" s="8">
        <v>100</v>
      </c>
      <c r="R37" s="8">
        <v>100</v>
      </c>
      <c r="S37" s="9">
        <f>IF(OR(Q37="",R37=""),"",Q37*R37/1000000)</f>
        <v>0.01</v>
      </c>
      <c r="T37" s="9">
        <f>IF(OR(O37="",S37=""),"",O37*S37)</f>
        <v>192</v>
      </c>
      <c r="U37" s="6">
        <f>IFERROR(L37/M37,"")</f>
        <v>1.0831250000000001</v>
      </c>
      <c r="V37" s="6">
        <f>IFERROR(L37/O37*100,"")</f>
        <v>0.27078125000000003</v>
      </c>
      <c r="W37" s="6">
        <f>IFERROR(L37/T37,"")</f>
        <v>0.27078125000000003</v>
      </c>
      <c r="X37" s="10">
        <v>4.3</v>
      </c>
      <c r="Y37" s="8">
        <v>2194</v>
      </c>
      <c r="Z37" s="7" t="s">
        <v>45</v>
      </c>
      <c r="AA37" s="7" t="s">
        <v>45</v>
      </c>
      <c r="AB37" s="7" t="s">
        <v>145</v>
      </c>
      <c r="AC37" s="7" t="str">
        <f>IF(A37="","",IF(AND(H37&lt;&gt;"",M37&lt;&gt;"",N37&lt;&gt;"",P37=3,Z37="Yes",AA37="Yes"),"High",IF(AND(H37&lt;&gt;"",M37&lt;&gt;"",N37&lt;&gt;""),"Medium","Low")))</f>
        <v>High</v>
      </c>
      <c r="AD37" s="7" t="str">
        <f>IF(AND(P37&gt;=3,Z37="Yes",AA37="Yes",O37&lt;&gt;"",L37&lt;&gt;""),"Include","Exclude")</f>
        <v>Include</v>
      </c>
      <c r="AE37" s="6">
        <f>IF(A37="","",IF(OR(ListingsTable[[#This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37" s="11">
        <f>IF(AD37="Include",V37*AE37,"")</f>
        <v>0.27078125000000003</v>
      </c>
      <c r="AG37" s="71">
        <f>IF(AF37="","",COUNTIFS($AF$2:$AF$76,"&lt;"&amp;AF37,$AD$2:$AD$76,"Include")+COUNTIFS($AF$2:AF37,AF37,$AD$2:AD37,"Include"))</f>
        <v>36</v>
      </c>
      <c r="AH37" s="71"/>
      <c r="AI37" s="6"/>
    </row>
    <row r="38" spans="1:35" s="24" customFormat="1" ht="44">
      <c r="A38" s="5">
        <v>46185</v>
      </c>
      <c r="B38" s="6" t="s">
        <v>148</v>
      </c>
      <c r="C38" s="6" t="s">
        <v>152</v>
      </c>
      <c r="D38" s="6" t="s">
        <v>138</v>
      </c>
      <c r="E38" s="12" t="s">
        <v>153</v>
      </c>
      <c r="F38" s="7">
        <v>19.89</v>
      </c>
      <c r="G38" s="7"/>
      <c r="H38" s="7">
        <f>IF(F38="","",IF(G38="",F38,G38))</f>
        <v>19.89</v>
      </c>
      <c r="I38" s="6" t="s">
        <v>44</v>
      </c>
      <c r="J38" s="7">
        <v>0</v>
      </c>
      <c r="K38" s="7">
        <v>0</v>
      </c>
      <c r="L38" s="7">
        <f>IF(H38="","",IF(I38="Grocery add-on",H38,H38+N(J38)+N(K38)))</f>
        <v>19.89</v>
      </c>
      <c r="M38" s="8">
        <v>32</v>
      </c>
      <c r="N38" s="8">
        <v>236</v>
      </c>
      <c r="O38" s="8">
        <f>IF(OR(M38="",N38=""),"",M38*N38)</f>
        <v>7552</v>
      </c>
      <c r="P38" s="8">
        <v>3</v>
      </c>
      <c r="Q38" s="8">
        <v>104</v>
      </c>
      <c r="R38" s="8">
        <v>118</v>
      </c>
      <c r="S38" s="9">
        <f>IF(OR(Q38="",R38=""),"",Q38*R38/1000000)</f>
        <v>1.2272E-2</v>
      </c>
      <c r="T38" s="9">
        <f>IF(OR(O38="",S38=""),"",O38*S38)</f>
        <v>92.678144000000003</v>
      </c>
      <c r="U38" s="6">
        <f>IFERROR(L38/M38,"")</f>
        <v>0.62156250000000002</v>
      </c>
      <c r="V38" s="6">
        <f>IFERROR(L38/O38*100,"")</f>
        <v>0.2633739406779661</v>
      </c>
      <c r="W38" s="6">
        <f>IFERROR(L38/T38,"")</f>
        <v>0.21461370654984199</v>
      </c>
      <c r="X38" s="10"/>
      <c r="Y38" s="8"/>
      <c r="Z38" s="7" t="s">
        <v>45</v>
      </c>
      <c r="AA38" s="7" t="s">
        <v>45</v>
      </c>
      <c r="AB38" s="7" t="s">
        <v>145</v>
      </c>
      <c r="AC38" s="7" t="str">
        <f>IF(A38="","",IF(AND(H38&lt;&gt;"",M38&lt;&gt;"",N38&lt;&gt;"",P38=3,Z38="Yes",AA38="Yes"),"High",IF(AND(H38&lt;&gt;"",M38&lt;&gt;"",N38&lt;&gt;""),"Medium","Low")))</f>
        <v>High</v>
      </c>
      <c r="AD38" s="7" t="str">
        <f>IF(AND(P38&gt;=3,Z38="Yes",AA38="Yes",O38&lt;&gt;"",L38&lt;&gt;""),"Include","Exclude")</f>
        <v>Include</v>
      </c>
      <c r="AE38" s="6">
        <f>IF(A38="","",IF(OR(ListingsTable[[#This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38" s="11">
        <f>IF(AD38="Include",V38*AE38,"")</f>
        <v>0.27127515889830511</v>
      </c>
      <c r="AG38" s="71">
        <f>IF(AF38="","",COUNTIFS($AF$2:$AF$76,"&lt;"&amp;AF38,$AD$2:$AD$76,"Include")+COUNTIFS($AF$2:AF38,AF38,$AD$2:AD38,"Include"))</f>
        <v>37</v>
      </c>
      <c r="AH38" s="71"/>
      <c r="AI38" s="6"/>
    </row>
    <row r="39" spans="1:35" s="24" customFormat="1" ht="44">
      <c r="A39" s="5">
        <v>46188</v>
      </c>
      <c r="B39" s="6" t="s">
        <v>60</v>
      </c>
      <c r="C39" s="6" t="s">
        <v>190</v>
      </c>
      <c r="D39" s="6" t="s">
        <v>191</v>
      </c>
      <c r="E39" s="12" t="s">
        <v>192</v>
      </c>
      <c r="F39" s="7">
        <v>42</v>
      </c>
      <c r="G39" s="7"/>
      <c r="H39" s="7">
        <f>IF(F39="","",IF(G39="",F39,G39))</f>
        <v>42</v>
      </c>
      <c r="I39" s="6" t="s">
        <v>44</v>
      </c>
      <c r="J39" s="7">
        <v>0</v>
      </c>
      <c r="K39" s="7">
        <v>0</v>
      </c>
      <c r="L39" s="7">
        <f>IF(H39="","",IF(I39="Grocery add-on",H39,H39+N(J39)+N(K39)))</f>
        <v>42</v>
      </c>
      <c r="M39" s="8">
        <v>48</v>
      </c>
      <c r="N39" s="8">
        <v>300</v>
      </c>
      <c r="O39" s="8">
        <f>IF(OR(M39="",N39=""),"",M39*N39)</f>
        <v>14400</v>
      </c>
      <c r="P39" s="8">
        <v>3</v>
      </c>
      <c r="Q39" s="8"/>
      <c r="R39" s="8"/>
      <c r="S39" s="9" t="str">
        <f>IF(OR(Q39="",R39=""),"",Q39*R39/1000000)</f>
        <v/>
      </c>
      <c r="T39" s="9" t="str">
        <f>IF(OR(O39="",S39=""),"",O39*S39)</f>
        <v/>
      </c>
      <c r="U39" s="6">
        <f>IFERROR(L39/M39,"")</f>
        <v>0.875</v>
      </c>
      <c r="V39" s="6">
        <f>IFERROR(L39/O39*100,"")</f>
        <v>0.29166666666666669</v>
      </c>
      <c r="W39" s="6" t="str">
        <f>IFERROR(L39/T39,"")</f>
        <v/>
      </c>
      <c r="X39" s="10">
        <v>4.5</v>
      </c>
      <c r="Y39" s="8">
        <v>318</v>
      </c>
      <c r="Z39" s="7" t="s">
        <v>45</v>
      </c>
      <c r="AA39" s="7" t="s">
        <v>45</v>
      </c>
      <c r="AB39" s="7" t="s">
        <v>145</v>
      </c>
      <c r="AC39" s="7" t="str">
        <f>IF(A39="","",IF(AND(H39&lt;&gt;"",M39&lt;&gt;"",N39&lt;&gt;"",P39=3,Z39="Yes",AA39="Yes"),"High",IF(AND(H39&lt;&gt;"",M39&lt;&gt;"",N39&lt;&gt;""),"Medium","Low")))</f>
        <v>High</v>
      </c>
      <c r="AD39" s="7" t="str">
        <f>IF(AND(P39&gt;=3,Z39="Yes",AA39="Yes",O39&lt;&gt;"",L39&lt;&gt;""),"Include","Exclude")</f>
        <v>Include</v>
      </c>
      <c r="AE39" s="6">
        <f>IF(A39="","",IF(OR(ListingsTable[[#This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39" s="11">
        <f>IF(AD39="Include",V39*AE39,"")</f>
        <v>0.27708333333333335</v>
      </c>
      <c r="AG39" s="71">
        <f>IF(AF39="","",COUNTIFS($AF$2:$AF$76,"&lt;"&amp;AF39,$AD$2:$AD$76,"Include")+COUNTIFS($AF$2:AF39,AF39,$AD$2:AD39,"Include"))</f>
        <v>38</v>
      </c>
      <c r="AH39" s="71"/>
      <c r="AI39" s="6"/>
    </row>
    <row r="40" spans="1:35" s="24" customFormat="1" ht="44">
      <c r="A40" s="5">
        <v>46188</v>
      </c>
      <c r="B40" s="6" t="s">
        <v>60</v>
      </c>
      <c r="C40" s="6" t="s">
        <v>181</v>
      </c>
      <c r="D40" s="6" t="s">
        <v>182</v>
      </c>
      <c r="E40" s="12" t="s">
        <v>183</v>
      </c>
      <c r="F40" s="7">
        <v>32.4</v>
      </c>
      <c r="G40" s="7"/>
      <c r="H40" s="7">
        <f>IF(F40="","",IF(G40="",F40,G40))</f>
        <v>32.4</v>
      </c>
      <c r="I40" s="6" t="s">
        <v>44</v>
      </c>
      <c r="J40" s="7">
        <v>0</v>
      </c>
      <c r="K40" s="7">
        <v>0</v>
      </c>
      <c r="L40" s="7">
        <f>IF(H40="","",IF(I40="Grocery add-on",H40,H40+N(J40)+N(K40)))</f>
        <v>32.4</v>
      </c>
      <c r="M40" s="8">
        <v>72</v>
      </c>
      <c r="N40" s="8">
        <v>150</v>
      </c>
      <c r="O40" s="8">
        <f>IF(OR(M40="",N40=""),"",M40*N40)</f>
        <v>10800</v>
      </c>
      <c r="P40" s="8">
        <v>3</v>
      </c>
      <c r="Q40" s="8"/>
      <c r="R40" s="8"/>
      <c r="S40" s="9" t="str">
        <f>IF(OR(Q40="",R40=""),"",Q40*R40/1000000)</f>
        <v/>
      </c>
      <c r="T40" s="9" t="str">
        <f>IF(OR(O40="",S40=""),"",O40*S40)</f>
        <v/>
      </c>
      <c r="U40" s="6">
        <f>IFERROR(L40/M40,"")</f>
        <v>0.44999999999999996</v>
      </c>
      <c r="V40" s="6">
        <f>IFERROR(L40/O40*100,"")</f>
        <v>0.3</v>
      </c>
      <c r="W40" s="6" t="str">
        <f>IFERROR(L40/T40,"")</f>
        <v/>
      </c>
      <c r="X40" s="10">
        <v>4.5999999999999996</v>
      </c>
      <c r="Y40" s="8">
        <v>393</v>
      </c>
      <c r="Z40" s="7" t="s">
        <v>45</v>
      </c>
      <c r="AA40" s="7" t="s">
        <v>45</v>
      </c>
      <c r="AB40" s="7" t="s">
        <v>145</v>
      </c>
      <c r="AC40" s="7" t="str">
        <f>IF(A40="","",IF(AND(H40&lt;&gt;"",M40&lt;&gt;"",N40&lt;&gt;"",P40=3,Z40="Yes",AA40="Yes"),"High",IF(AND(H40&lt;&gt;"",M40&lt;&gt;"",N40&lt;&gt;""),"Medium","Low")))</f>
        <v>High</v>
      </c>
      <c r="AD40" s="7" t="str">
        <f>IF(AND(P40&gt;=3,Z40="Yes",AA40="Yes",O40&lt;&gt;"",L40&lt;&gt;""),"Include","Exclude")</f>
        <v>Include</v>
      </c>
      <c r="AE40" s="6">
        <f>IF(A40="","",IF(OR(ListingsTable[[#This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0" s="11">
        <f>IF(AD40="Include",V40*AE40,"")</f>
        <v>0.28499999999999998</v>
      </c>
      <c r="AG40" s="71">
        <f>IF(AF40="","",COUNTIFS($AF$2:$AF$76,"&lt;"&amp;AF40,$AD$2:$AD$76,"Include")+COUNTIFS($AF$2:AF40,AF40,$AD$2:AD40,"Include"))</f>
        <v>39</v>
      </c>
      <c r="AH40" s="71"/>
      <c r="AI40" s="6"/>
    </row>
    <row r="41" spans="1:35" s="24" customFormat="1" ht="44">
      <c r="A41" s="5">
        <v>46184</v>
      </c>
      <c r="B41" s="6" t="s">
        <v>60</v>
      </c>
      <c r="C41" s="6" t="s">
        <v>84</v>
      </c>
      <c r="D41" s="6" t="s">
        <v>136</v>
      </c>
      <c r="E41" s="12" t="s">
        <v>83</v>
      </c>
      <c r="F41" s="7">
        <v>9.6999999999999993</v>
      </c>
      <c r="G41" s="7"/>
      <c r="H41" s="7">
        <f>IF(F41="","",IF(G41="",F41,G41))</f>
        <v>9.6999999999999993</v>
      </c>
      <c r="I41" s="6" t="s">
        <v>44</v>
      </c>
      <c r="J41" s="7">
        <v>0</v>
      </c>
      <c r="K41" s="7">
        <v>0</v>
      </c>
      <c r="L41" s="7">
        <f>IF(H41="","",IF(I41="Grocery add-on",H41,H41+N(J41)+N(K41)))</f>
        <v>9.6999999999999993</v>
      </c>
      <c r="M41" s="8">
        <v>20</v>
      </c>
      <c r="N41" s="8">
        <v>160</v>
      </c>
      <c r="O41" s="8">
        <f>IF(OR(M41="",N41=""),"",M41*N41)</f>
        <v>3200</v>
      </c>
      <c r="P41" s="8">
        <v>3</v>
      </c>
      <c r="Q41" s="8"/>
      <c r="R41" s="8"/>
      <c r="S41" s="9" t="str">
        <f>IF(OR(Q41="",R41=""),"",Q41*R41/1000000)</f>
        <v/>
      </c>
      <c r="T41" s="9" t="str">
        <f>IF(OR(O41="",S41=""),"",O41*S41)</f>
        <v/>
      </c>
      <c r="U41" s="6">
        <f>IFERROR(L41/M41,"")</f>
        <v>0.48499999999999999</v>
      </c>
      <c r="V41" s="6">
        <f>IFERROR(L41/O41*100,"")</f>
        <v>0.30312499999999998</v>
      </c>
      <c r="W41" s="6" t="str">
        <f>IFERROR(L41/T41,"")</f>
        <v/>
      </c>
      <c r="X41" s="10">
        <v>4.5</v>
      </c>
      <c r="Y41" s="8">
        <v>1875</v>
      </c>
      <c r="Z41" s="7" t="s">
        <v>45</v>
      </c>
      <c r="AA41" s="7" t="s">
        <v>45</v>
      </c>
      <c r="AB41" s="7" t="s">
        <v>145</v>
      </c>
      <c r="AC41" s="7" t="str">
        <f>IF(A41="","",IF(AND(H41&lt;&gt;"",M41&lt;&gt;"",N41&lt;&gt;"",P41=3,Z41="Yes",AA41="Yes"),"High",IF(AND(H41&lt;&gt;"",M41&lt;&gt;"",N41&lt;&gt;""),"Medium","Low")))</f>
        <v>High</v>
      </c>
      <c r="AD41" s="7" t="str">
        <f>IF(AND(P41&gt;=3,Z41="Yes",AA41="Yes",O41&lt;&gt;"",L41&lt;&gt;""),"Include","Exclude")</f>
        <v>Include</v>
      </c>
      <c r="AE41" s="6">
        <f>IF(A41="","",IF(OR(ListingsTable[[#This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1" s="11">
        <f>IF(AD41="Include",V41*AE41,"")</f>
        <v>0.28796874999999994</v>
      </c>
      <c r="AG41" s="71">
        <f>IF(AF41="","",COUNTIFS($AF$2:$AF$76,"&lt;"&amp;AF41,$AD$2:$AD$76,"Include")+COUNTIFS($AF$2:AF41,AF41,$AD$2:AD41,"Include"))</f>
        <v>40</v>
      </c>
      <c r="AH41" s="71"/>
      <c r="AI41" s="6"/>
    </row>
    <row r="42" spans="1:35" s="24" customFormat="1" ht="44">
      <c r="A42" s="5">
        <v>46184</v>
      </c>
      <c r="B42" s="6" t="s">
        <v>60</v>
      </c>
      <c r="C42" s="6" t="s">
        <v>78</v>
      </c>
      <c r="D42" s="6" t="s">
        <v>137</v>
      </c>
      <c r="E42" s="29" t="s">
        <v>77</v>
      </c>
      <c r="F42" s="7">
        <v>11.5</v>
      </c>
      <c r="G42" s="7"/>
      <c r="H42" s="7">
        <f>IF(F42="","",IF(G42="",F42,G42))</f>
        <v>11.5</v>
      </c>
      <c r="I42" s="6" t="s">
        <v>44</v>
      </c>
      <c r="J42" s="7">
        <v>0</v>
      </c>
      <c r="K42" s="7">
        <v>0</v>
      </c>
      <c r="L42" s="7">
        <f>IF(H42="","",IF(I42="Grocery add-on",H42,H42+N(J42)+N(K42)))</f>
        <v>11.5</v>
      </c>
      <c r="M42" s="8">
        <v>24</v>
      </c>
      <c r="N42" s="8">
        <v>155</v>
      </c>
      <c r="O42" s="8">
        <f>IF(OR(M42="",N42=""),"",M42*N42)</f>
        <v>3720</v>
      </c>
      <c r="P42" s="8">
        <v>3</v>
      </c>
      <c r="Q42" s="8"/>
      <c r="R42" s="8"/>
      <c r="S42" s="9" t="str">
        <f>IF(OR(Q42="",R42=""),"",Q42*R42/1000000)</f>
        <v/>
      </c>
      <c r="T42" s="9" t="str">
        <f>IF(OR(O42="",S42=""),"",O42*S42)</f>
        <v/>
      </c>
      <c r="U42" s="6">
        <f>IFERROR(L42/M42,"")</f>
        <v>0.47916666666666669</v>
      </c>
      <c r="V42" s="6">
        <f>IFERROR(L42/O42*100,"")</f>
        <v>0.30913978494623656</v>
      </c>
      <c r="W42" s="6" t="str">
        <f>IFERROR(L42/T42,"")</f>
        <v/>
      </c>
      <c r="X42" s="10">
        <v>4.7</v>
      </c>
      <c r="Y42" s="8">
        <v>9555</v>
      </c>
      <c r="Z42" s="7" t="s">
        <v>45</v>
      </c>
      <c r="AA42" s="7" t="s">
        <v>45</v>
      </c>
      <c r="AB42" s="7" t="s">
        <v>146</v>
      </c>
      <c r="AC42" s="7" t="str">
        <f>IF(A42="","",IF(AND(H42&lt;&gt;"",M42&lt;&gt;"",N42&lt;&gt;"",P42=3,Z42="Yes",AA42="Yes"),"High",IF(AND(H42&lt;&gt;"",M42&lt;&gt;"",N42&lt;&gt;""),"Medium","Low")))</f>
        <v>High</v>
      </c>
      <c r="AD42" s="7" t="str">
        <f>IF(AND(P42&gt;=3,Z42="Yes",AA42="Yes",O42&lt;&gt;"",L42&lt;&gt;""),"Include","Exclude")</f>
        <v>Include</v>
      </c>
      <c r="AE42" s="6">
        <f>IF(A42="","",IF(OR(ListingsTable[[#This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2" s="11">
        <f>IF(AD42="Include",V42*AE42,"")</f>
        <v>0.29368279569892475</v>
      </c>
      <c r="AG42" s="71">
        <f>IF(AF42="","",COUNTIFS($AF$2:$AF$76,"&lt;"&amp;AF42,$AD$2:$AD$76,"Include")+COUNTIFS($AF$2:AF42,AF42,$AD$2:AD42,"Include"))</f>
        <v>41</v>
      </c>
      <c r="AH42" s="71"/>
      <c r="AI42" s="6"/>
    </row>
    <row r="43" spans="1:35" s="24" customFormat="1" ht="44">
      <c r="A43" s="5">
        <v>46185</v>
      </c>
      <c r="B43" s="6" t="s">
        <v>60</v>
      </c>
      <c r="C43" s="6" t="s">
        <v>76</v>
      </c>
      <c r="D43" s="6" t="s">
        <v>154</v>
      </c>
      <c r="E43" s="12" t="s">
        <v>155</v>
      </c>
      <c r="F43" s="7">
        <v>17.989999999999998</v>
      </c>
      <c r="G43" s="7"/>
      <c r="H43" s="7">
        <f>IF(F43="","",IF(G43="",F43,G43))</f>
        <v>17.989999999999998</v>
      </c>
      <c r="I43" s="6" t="s">
        <v>44</v>
      </c>
      <c r="J43" s="7">
        <v>0</v>
      </c>
      <c r="K43" s="7">
        <v>0</v>
      </c>
      <c r="L43" s="7">
        <f>IF(H43="","",IF(I43="Grocery add-on",H43,H43+N(J43)+N(K43)))</f>
        <v>17.989999999999998</v>
      </c>
      <c r="M43" s="8">
        <v>60</v>
      </c>
      <c r="N43" s="8">
        <v>100</v>
      </c>
      <c r="O43" s="8">
        <f>IF(OR(M43="",N43=""),"",M43*N43)</f>
        <v>6000</v>
      </c>
      <c r="P43" s="8">
        <v>3</v>
      </c>
      <c r="Q43" s="8"/>
      <c r="R43" s="8"/>
      <c r="S43" s="9" t="str">
        <f>IF(OR(Q43="",R43=""),"",Q43*R43/1000000)</f>
        <v/>
      </c>
      <c r="T43" s="9" t="str">
        <f>IF(OR(O43="",S43=""),"",O43*S43)</f>
        <v/>
      </c>
      <c r="U43" s="6">
        <f>IFERROR(L43/M43,"")</f>
        <v>0.29983333333333329</v>
      </c>
      <c r="V43" s="6">
        <f>IFERROR(L43/O43*100,"")</f>
        <v>0.29983333333333329</v>
      </c>
      <c r="W43" s="6" t="str">
        <f>IFERROR(L43/T43,"")</f>
        <v/>
      </c>
      <c r="X43" s="10">
        <v>4.4000000000000004</v>
      </c>
      <c r="Y43" s="8">
        <v>4866</v>
      </c>
      <c r="Z43" s="7" t="s">
        <v>45</v>
      </c>
      <c r="AA43" s="7" t="s">
        <v>45</v>
      </c>
      <c r="AB43" s="7" t="s">
        <v>145</v>
      </c>
      <c r="AC43" s="7" t="str">
        <f>IF(A43="","",IF(AND(H43&lt;&gt;"",M43&lt;&gt;"",N43&lt;&gt;"",P43=3,Z43="Yes",AA43="Yes"),"High",IF(AND(H43&lt;&gt;"",M43&lt;&gt;"",N43&lt;&gt;""),"Medium","Low")))</f>
        <v>High</v>
      </c>
      <c r="AD43" s="7" t="str">
        <f>IF(AND(P43&gt;=3,Z43="Yes",AA43="Yes",O43&lt;&gt;"",L43&lt;&gt;""),"Include","Exclude")</f>
        <v>Include</v>
      </c>
      <c r="AE43" s="6">
        <f>IF(A43="","",IF(OR(ListingsTable[[#This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3" s="11">
        <f>IF(AD43="Include",V43*AE43,"")</f>
        <v>0.29983333333333329</v>
      </c>
      <c r="AG43" s="71">
        <f>IF(AF43="","",COUNTIFS($AF$2:$AF$76,"&lt;"&amp;AF43,$AD$2:$AD$76,"Include")+COUNTIFS($AF$2:AF43,AF43,$AD$2:AD43,"Include"))</f>
        <v>42</v>
      </c>
      <c r="AH43" s="71"/>
      <c r="AI43" s="6"/>
    </row>
    <row r="44" spans="1:35" s="24" customFormat="1" ht="44">
      <c r="A44" s="5">
        <v>46185</v>
      </c>
      <c r="B44" s="6" t="s">
        <v>64</v>
      </c>
      <c r="C44" s="6" t="s">
        <v>91</v>
      </c>
      <c r="D44" s="6" t="s">
        <v>138</v>
      </c>
      <c r="E44" s="12" t="s">
        <v>92</v>
      </c>
      <c r="F44" s="7">
        <v>9.85</v>
      </c>
      <c r="G44" s="7"/>
      <c r="H44" s="7">
        <f>IF(F44="","",IF(G44="",F44,G44))</f>
        <v>9.85</v>
      </c>
      <c r="I44" s="6" t="s">
        <v>44</v>
      </c>
      <c r="J44" s="7">
        <v>0</v>
      </c>
      <c r="K44" s="7">
        <v>0</v>
      </c>
      <c r="L44" s="7">
        <f>IF(H44="","",IF(I44="Grocery add-on",H44,H44+N(J44)+N(K44)))</f>
        <v>9.85</v>
      </c>
      <c r="M44" s="8">
        <v>12</v>
      </c>
      <c r="N44" s="8">
        <v>236</v>
      </c>
      <c r="O44" s="8">
        <f>IF(OR(M44="",N44=""),"",M44*N44)</f>
        <v>2832</v>
      </c>
      <c r="P44" s="8">
        <v>3</v>
      </c>
      <c r="Q44" s="8"/>
      <c r="R44" s="8"/>
      <c r="S44" s="9" t="str">
        <f>IF(OR(Q44="",R44=""),"",Q44*R44/1000000)</f>
        <v/>
      </c>
      <c r="T44" s="9" t="str">
        <f>IF(OR(O44="",S44=""),"",O44*S44)</f>
        <v/>
      </c>
      <c r="U44" s="6">
        <f>IFERROR(L44/M44,"")</f>
        <v>0.8208333333333333</v>
      </c>
      <c r="V44" s="6">
        <f>IFERROR(L44/O44*100,"")</f>
        <v>0.34781073446327682</v>
      </c>
      <c r="W44" s="6" t="str">
        <f>IFERROR(L44/T44,"")</f>
        <v/>
      </c>
      <c r="X44" s="10">
        <v>4.7</v>
      </c>
      <c r="Y44" s="8">
        <v>1858</v>
      </c>
      <c r="Z44" s="7" t="s">
        <v>45</v>
      </c>
      <c r="AA44" s="7" t="s">
        <v>45</v>
      </c>
      <c r="AB44" s="7" t="s">
        <v>145</v>
      </c>
      <c r="AC44" s="7" t="str">
        <f>IF(A44="","",IF(AND(H44&lt;&gt;"",M44&lt;&gt;"",N44&lt;&gt;"",P44=3,Z44="Yes",AA44="Yes"),"High",IF(AND(H44&lt;&gt;"",M44&lt;&gt;"",N44&lt;&gt;""),"Medium","Low")))</f>
        <v>High</v>
      </c>
      <c r="AD44" s="7" t="str">
        <f>IF(AND(P44&gt;=3,Z44="Yes",AA44="Yes",O44&lt;&gt;"",L44&lt;&gt;""),"Include","Exclude")</f>
        <v>Include</v>
      </c>
      <c r="AE44" s="6">
        <f>IF(A44="","",IF(OR(ListingsTable[[#This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44" s="11">
        <f>IF(AD44="Include",V44*AE44,"")</f>
        <v>0.33042019774011294</v>
      </c>
      <c r="AG44" s="71">
        <f>IF(AF44="","",COUNTIFS($AF$2:$AF$76,"&lt;"&amp;AF44,$AD$2:$AD$76,"Include")+COUNTIFS($AF$2:AF44,AF44,$AD$2:AD44,"Include"))</f>
        <v>43</v>
      </c>
      <c r="AH44" s="71"/>
      <c r="AI44" s="6"/>
    </row>
    <row r="45" spans="1:35" s="24" customFormat="1" ht="44">
      <c r="A45" s="5">
        <v>46188</v>
      </c>
      <c r="B45" s="6" t="s">
        <v>60</v>
      </c>
      <c r="C45" s="6" t="s">
        <v>196</v>
      </c>
      <c r="D45" s="6" t="s">
        <v>191</v>
      </c>
      <c r="E45" s="12" t="s">
        <v>197</v>
      </c>
      <c r="F45" s="7">
        <v>24</v>
      </c>
      <c r="G45" s="7"/>
      <c r="H45" s="7">
        <f>IF(F45="","",IF(G45="",F45,G45))</f>
        <v>24</v>
      </c>
      <c r="I45" s="6" t="s">
        <v>44</v>
      </c>
      <c r="J45" s="7">
        <v>0</v>
      </c>
      <c r="K45" s="7">
        <v>0</v>
      </c>
      <c r="L45" s="7">
        <f>IF(H45="","",IF(I45="Grocery add-on",H45,H45+N(J45)+N(K45)))</f>
        <v>24</v>
      </c>
      <c r="M45" s="8">
        <v>24</v>
      </c>
      <c r="N45" s="8">
        <v>300</v>
      </c>
      <c r="O45" s="8">
        <f>IF(OR(M45="",N45=""),"",M45*N45)</f>
        <v>7200</v>
      </c>
      <c r="P45" s="8">
        <v>3</v>
      </c>
      <c r="Q45" s="8"/>
      <c r="R45" s="8"/>
      <c r="S45" s="9" t="str">
        <f>IF(OR(Q45="",R45=""),"",Q45*R45/1000000)</f>
        <v/>
      </c>
      <c r="T45" s="9" t="str">
        <f>IF(OR(O45="",S45=""),"",O45*S45)</f>
        <v/>
      </c>
      <c r="U45" s="6">
        <f>IFERROR(L45/M45,"")</f>
        <v>1</v>
      </c>
      <c r="V45" s="6">
        <f>IFERROR(L45/O45*100,"")</f>
        <v>0.33333333333333337</v>
      </c>
      <c r="W45" s="6" t="str">
        <f>IFERROR(L45/T45,"")</f>
        <v/>
      </c>
      <c r="X45" s="10">
        <v>4.4000000000000004</v>
      </c>
      <c r="Y45" s="8">
        <v>136</v>
      </c>
      <c r="Z45" s="7" t="s">
        <v>45</v>
      </c>
      <c r="AA45" s="7" t="s">
        <v>45</v>
      </c>
      <c r="AB45" s="7" t="s">
        <v>145</v>
      </c>
      <c r="AC45" s="7" t="str">
        <f>IF(A45="","",IF(AND(H45&lt;&gt;"",M45&lt;&gt;"",N45&lt;&gt;"",P45=3,Z45="Yes",AA45="Yes"),"High",IF(AND(H45&lt;&gt;"",M45&lt;&gt;"",N45&lt;&gt;""),"Medium","Low")))</f>
        <v>High</v>
      </c>
      <c r="AD45" s="7" t="str">
        <f>IF(AND(P45&gt;=3,Z45="Yes",AA45="Yes",O45&lt;&gt;"",L45&lt;&gt;""),"Include","Exclude")</f>
        <v>Include</v>
      </c>
      <c r="AE45" s="6">
        <f>IF(A45="","",IF(OR(ListingsTable[[#This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5" s="11">
        <f>IF(AD45="Include",V45*AE45,"")</f>
        <v>0.33333333333333337</v>
      </c>
      <c r="AG45" s="71">
        <f>IF(AF45="","",COUNTIFS($AF$2:$AF$76,"&lt;"&amp;AF45,$AD$2:$AD$76,"Include")+COUNTIFS($AF$2:AF45,AF45,$AD$2:AD45,"Include"))</f>
        <v>44</v>
      </c>
      <c r="AH45" s="71"/>
      <c r="AI45" s="6"/>
    </row>
    <row r="46" spans="1:35" s="24" customFormat="1" ht="44">
      <c r="A46" s="5">
        <v>46185</v>
      </c>
      <c r="B46" s="6" t="s">
        <v>107</v>
      </c>
      <c r="C46" s="6" t="s">
        <v>110</v>
      </c>
      <c r="D46" s="6" t="s">
        <v>139</v>
      </c>
      <c r="E46" s="12" t="s">
        <v>111</v>
      </c>
      <c r="F46" s="7">
        <v>22.55</v>
      </c>
      <c r="G46" s="7"/>
      <c r="H46" s="7">
        <f>IF(F46="","",IF(G46="",F46,G46))</f>
        <v>22.55</v>
      </c>
      <c r="I46" s="6" t="s">
        <v>44</v>
      </c>
      <c r="J46" s="7">
        <v>0</v>
      </c>
      <c r="K46" s="7">
        <v>0</v>
      </c>
      <c r="L46" s="7">
        <f>IF(H46="","",IF(I46="Grocery add-on",H46,H46+N(J46)+N(K46)))</f>
        <v>22.55</v>
      </c>
      <c r="M46" s="8">
        <v>45</v>
      </c>
      <c r="N46" s="8">
        <v>150</v>
      </c>
      <c r="O46" s="8">
        <f>IF(OR(M46="",N46=""),"",M46*N46)</f>
        <v>6750</v>
      </c>
      <c r="P46" s="8">
        <v>3</v>
      </c>
      <c r="Q46" s="8"/>
      <c r="R46" s="8"/>
      <c r="S46" s="9" t="str">
        <f>IF(OR(Q46="",R46=""),"",Q46*R46/1000000)</f>
        <v/>
      </c>
      <c r="T46" s="9" t="str">
        <f>IF(OR(O46="",S46=""),"",O46*S46)</f>
        <v/>
      </c>
      <c r="U46" s="6">
        <f>IFERROR(L46/M46,"")</f>
        <v>0.50111111111111117</v>
      </c>
      <c r="V46" s="6">
        <f>IFERROR(L46/O46*100,"")</f>
        <v>0.33407407407407408</v>
      </c>
      <c r="W46" s="6" t="str">
        <f>IFERROR(L46/T46,"")</f>
        <v/>
      </c>
      <c r="X46" s="10"/>
      <c r="Y46" s="8"/>
      <c r="Z46" s="7" t="s">
        <v>45</v>
      </c>
      <c r="AA46" s="7" t="s">
        <v>45</v>
      </c>
      <c r="AB46" s="7" t="s">
        <v>145</v>
      </c>
      <c r="AC46" s="7" t="str">
        <f>IF(A46="","",IF(AND(H46&lt;&gt;"",M46&lt;&gt;"",N46&lt;&gt;"",P46=3,Z46="Yes",AA46="Yes"),"High",IF(AND(H46&lt;&gt;"",M46&lt;&gt;"",N46&lt;&gt;""),"Medium","Low")))</f>
        <v>High</v>
      </c>
      <c r="AD46" s="7" t="str">
        <f>IF(AND(P46&gt;=3,Z46="Yes",AA46="Yes",O46&lt;&gt;"",L46&lt;&gt;""),"Include","Exclude")</f>
        <v>Include</v>
      </c>
      <c r="AE46" s="6">
        <f>IF(A46="","",IF(OR(ListingsTable[[#This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1.03</v>
      </c>
      <c r="AF46" s="11">
        <f>IF(AD46="Include",V46*AE46,"")</f>
        <v>0.34409629629629629</v>
      </c>
      <c r="AG46" s="71">
        <f>IF(AF46="","",COUNTIFS($AF$2:$AF$76,"&lt;"&amp;AF46,$AD$2:$AD$76,"Include")+COUNTIFS($AF$2:AF46,AF46,$AD$2:AD46,"Include"))</f>
        <v>45</v>
      </c>
      <c r="AH46" s="71"/>
      <c r="AI46" s="6"/>
    </row>
    <row r="47" spans="1:35" s="24" customFormat="1" ht="44">
      <c r="A47" s="5">
        <v>46185</v>
      </c>
      <c r="B47" s="6" t="s">
        <v>62</v>
      </c>
      <c r="C47" s="6" t="s">
        <v>98</v>
      </c>
      <c r="D47" s="6" t="s">
        <v>140</v>
      </c>
      <c r="E47" s="12" t="s">
        <v>97</v>
      </c>
      <c r="F47" s="7">
        <v>5.95</v>
      </c>
      <c r="G47" s="7"/>
      <c r="H47" s="7">
        <f>IF(F47="","",IF(G47="",F47,G47))</f>
        <v>5.95</v>
      </c>
      <c r="I47" s="6" t="s">
        <v>44</v>
      </c>
      <c r="J47" s="7">
        <v>0</v>
      </c>
      <c r="K47" s="7">
        <v>0</v>
      </c>
      <c r="L47" s="7">
        <f>IF(H47="","",IF(I47="Grocery add-on",H47,H47+N(J47)+N(K47)))</f>
        <v>5.95</v>
      </c>
      <c r="M47" s="8">
        <v>9</v>
      </c>
      <c r="N47" s="8">
        <v>175</v>
      </c>
      <c r="O47" s="8">
        <f>IF(OR(M47="",N47=""),"",M47*N47)</f>
        <v>1575</v>
      </c>
      <c r="P47" s="8">
        <v>3</v>
      </c>
      <c r="Q47" s="8">
        <v>104</v>
      </c>
      <c r="R47" s="8">
        <v>125</v>
      </c>
      <c r="S47" s="9">
        <f>IF(OR(Q47="",R47=""),"",Q47*R47/1000000)</f>
        <v>1.2999999999999999E-2</v>
      </c>
      <c r="T47" s="9">
        <f>IF(OR(O47="",S47=""),"",O47*S47)</f>
        <v>20.474999999999998</v>
      </c>
      <c r="U47" s="6">
        <f>IFERROR(L47/M47,"")</f>
        <v>0.66111111111111109</v>
      </c>
      <c r="V47" s="6">
        <f>IFERROR(L47/O47*100,"")</f>
        <v>0.37777777777777777</v>
      </c>
      <c r="W47" s="6">
        <f>IFERROR(L47/T47,"")</f>
        <v>0.29059829059829062</v>
      </c>
      <c r="X47" s="10">
        <v>4.4000000000000004</v>
      </c>
      <c r="Y47" s="8">
        <v>13</v>
      </c>
      <c r="Z47" s="7" t="s">
        <v>45</v>
      </c>
      <c r="AA47" s="7" t="s">
        <v>45</v>
      </c>
      <c r="AB47" s="7" t="s">
        <v>145</v>
      </c>
      <c r="AC47" s="7" t="str">
        <f>IF(A47="","",IF(AND(H47&lt;&gt;"",M47&lt;&gt;"",N47&lt;&gt;"",P47=3,Z47="Yes",AA47="Yes"),"High",IF(AND(H47&lt;&gt;"",M47&lt;&gt;"",N47&lt;&gt;""),"Medium","Low")))</f>
        <v>High</v>
      </c>
      <c r="AD47" s="7" t="str">
        <f>IF(AND(P47&gt;=3,Z47="Yes",AA47="Yes",O47&lt;&gt;"",L47&lt;&gt;""),"Include","Exclude")</f>
        <v>Include</v>
      </c>
      <c r="AE47" s="6">
        <f>IF(A47="","",IF(OR(ListingsTable[[#This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7" s="11">
        <f>IF(AD47="Include",V47*AE47,"")</f>
        <v>0.37777777777777777</v>
      </c>
      <c r="AG47" s="71">
        <f>IF(AF47="","",COUNTIFS($AF$2:$AF$76,"&lt;"&amp;AF47,$AD$2:$AD$76,"Include")+COUNTIFS($AF$2:AF47,AF47,$AD$2:AD47,"Include"))</f>
        <v>46</v>
      </c>
      <c r="AH47" s="71"/>
      <c r="AI47" s="6"/>
    </row>
    <row r="48" spans="1:35" s="24" customFormat="1" ht="44">
      <c r="A48" s="5">
        <v>46185</v>
      </c>
      <c r="B48" s="6" t="s">
        <v>62</v>
      </c>
      <c r="C48" s="6" t="s">
        <v>104</v>
      </c>
      <c r="D48" s="6" t="s">
        <v>135</v>
      </c>
      <c r="E48" s="12" t="s">
        <v>103</v>
      </c>
      <c r="F48" s="7">
        <v>12.25</v>
      </c>
      <c r="G48" s="7"/>
      <c r="H48" s="7">
        <f>IF(F48="","",IF(G48="",F48,G48))</f>
        <v>12.25</v>
      </c>
      <c r="I48" s="6" t="s">
        <v>44</v>
      </c>
      <c r="J48" s="7">
        <v>0</v>
      </c>
      <c r="K48" s="7">
        <v>0</v>
      </c>
      <c r="L48" s="7">
        <f>IF(H48="","",IF(I48="Grocery add-on",H48,H48+N(J48)+N(K48)))</f>
        <v>12.25</v>
      </c>
      <c r="M48" s="8">
        <v>12</v>
      </c>
      <c r="N48" s="8">
        <v>270</v>
      </c>
      <c r="O48" s="8">
        <f>IF(OR(M48="",N48=""),"",M48*N48)</f>
        <v>3240</v>
      </c>
      <c r="P48" s="8">
        <v>3</v>
      </c>
      <c r="Q48" s="8">
        <v>100</v>
      </c>
      <c r="R48" s="8">
        <v>100</v>
      </c>
      <c r="S48" s="9">
        <f>IF(OR(Q48="",R48=""),"",Q48*R48/1000000)</f>
        <v>0.01</v>
      </c>
      <c r="T48" s="9">
        <f>IF(OR(O48="",S48=""),"",O48*S48)</f>
        <v>32.4</v>
      </c>
      <c r="U48" s="6">
        <f>IFERROR(L48/M48,"")</f>
        <v>1.0208333333333333</v>
      </c>
      <c r="V48" s="6">
        <f>IFERROR(L48/O48*100,"")</f>
        <v>0.37808641975308643</v>
      </c>
      <c r="W48" s="6">
        <f>IFERROR(L48/T48,"")</f>
        <v>0.37808641975308643</v>
      </c>
      <c r="X48" s="10">
        <v>4.4000000000000004</v>
      </c>
      <c r="Y48" s="8">
        <v>39</v>
      </c>
      <c r="Z48" s="7" t="s">
        <v>45</v>
      </c>
      <c r="AA48" s="7" t="s">
        <v>45</v>
      </c>
      <c r="AB48" s="7" t="s">
        <v>145</v>
      </c>
      <c r="AC48" s="7" t="str">
        <f>IF(A48="","",IF(AND(H48&lt;&gt;"",M48&lt;&gt;"",N48&lt;&gt;"",P48=3,Z48="Yes",AA48="Yes"),"High",IF(AND(H48&lt;&gt;"",M48&lt;&gt;"",N48&lt;&gt;""),"Medium","Low")))</f>
        <v>High</v>
      </c>
      <c r="AD48" s="7" t="str">
        <f>IF(AND(P48&gt;=3,Z48="Yes",AA48="Yes",O48&lt;&gt;"",L48&lt;&gt;""),"Include","Exclude")</f>
        <v>Include</v>
      </c>
      <c r="AE48" s="6">
        <f>IF(A48="","",IF(OR(ListingsTable[[#This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8" s="11">
        <f>IF(AD48="Include",V48*AE48,"")</f>
        <v>0.37808641975308643</v>
      </c>
      <c r="AG48" s="71">
        <f>IF(AF48="","",COUNTIFS($AF$2:$AF$76,"&lt;"&amp;AF48,$AD$2:$AD$76,"Include")+COUNTIFS($AF$2:AF48,AF48,$AD$2:AD48,"Include"))</f>
        <v>47</v>
      </c>
      <c r="AH48" s="71"/>
      <c r="AI48" s="6"/>
    </row>
    <row r="49" spans="1:35" s="24" customFormat="1" ht="44">
      <c r="A49" s="5">
        <v>46188</v>
      </c>
      <c r="B49" s="6" t="s">
        <v>60</v>
      </c>
      <c r="C49" s="6" t="s">
        <v>198</v>
      </c>
      <c r="D49" s="6" t="s">
        <v>199</v>
      </c>
      <c r="E49" s="12" t="s">
        <v>200</v>
      </c>
      <c r="F49" s="7">
        <v>28.99</v>
      </c>
      <c r="G49" s="7"/>
      <c r="H49" s="7">
        <f>IF(F49="","",IF(G49="",F49,G49))</f>
        <v>28.99</v>
      </c>
      <c r="I49" s="6" t="s">
        <v>44</v>
      </c>
      <c r="J49" s="7">
        <v>0</v>
      </c>
      <c r="K49" s="7">
        <v>0</v>
      </c>
      <c r="L49" s="7">
        <f>IF(H49="","",IF(I49="Grocery add-on",H49,H49+N(J49)+N(K49)))</f>
        <v>28.99</v>
      </c>
      <c r="M49" s="8">
        <v>30</v>
      </c>
      <c r="N49" s="8">
        <v>250</v>
      </c>
      <c r="O49" s="8">
        <f>IF(OR(M49="",N49=""),"",M49*N49)</f>
        <v>7500</v>
      </c>
      <c r="P49" s="8">
        <v>3</v>
      </c>
      <c r="Q49" s="8">
        <v>100</v>
      </c>
      <c r="R49" s="8">
        <v>130</v>
      </c>
      <c r="S49" s="9">
        <f>IF(OR(Q49="",R49=""),"",Q49*R49/1000000)</f>
        <v>1.2999999999999999E-2</v>
      </c>
      <c r="T49" s="9">
        <f>IF(OR(O49="",S49=""),"",O49*S49)</f>
        <v>97.5</v>
      </c>
      <c r="U49" s="6">
        <f>IFERROR(L49/M49,"")</f>
        <v>0.96633333333333327</v>
      </c>
      <c r="V49" s="6">
        <f>IFERROR(L49/O49*100,"")</f>
        <v>0.38653333333333328</v>
      </c>
      <c r="W49" s="6">
        <f>IFERROR(L49/T49,"")</f>
        <v>0.29733333333333334</v>
      </c>
      <c r="X49" s="10">
        <v>4.2</v>
      </c>
      <c r="Y49" s="8">
        <v>191</v>
      </c>
      <c r="Z49" s="7" t="s">
        <v>45</v>
      </c>
      <c r="AA49" s="7" t="s">
        <v>45</v>
      </c>
      <c r="AB49" s="7" t="s">
        <v>145</v>
      </c>
      <c r="AC49" s="7" t="str">
        <f>IF(A49="","",IF(AND(H49&lt;&gt;"",M49&lt;&gt;"",N49&lt;&gt;"",P49=3,Z49="Yes",AA49="Yes"),"High",IF(AND(H49&lt;&gt;"",M49&lt;&gt;"",N49&lt;&gt;""),"Medium","Low")))</f>
        <v>High</v>
      </c>
      <c r="AD49" s="7" t="str">
        <f>IF(AND(P49&gt;=3,Z49="Yes",AA49="Yes",O49&lt;&gt;"",L49&lt;&gt;""),"Include","Exclude")</f>
        <v>Include</v>
      </c>
      <c r="AE49" s="6">
        <f>IF(A49="","",IF(OR(ListingsTable[[#This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49" s="11">
        <f>IF(AD49="Include",V49*AE49,"")</f>
        <v>0.38653333333333328</v>
      </c>
      <c r="AG49" s="71">
        <f>IF(AF49="","",COUNTIFS($AF$2:$AF$76,"&lt;"&amp;AF49,$AD$2:$AD$76,"Include")+COUNTIFS($AF$2:AF49,AF49,$AD$2:AD49,"Include"))</f>
        <v>48</v>
      </c>
      <c r="AH49" s="71"/>
      <c r="AI49" s="6"/>
    </row>
    <row r="50" spans="1:35" s="24" customFormat="1" ht="44">
      <c r="A50" s="5">
        <v>46188</v>
      </c>
      <c r="B50" s="6" t="s">
        <v>60</v>
      </c>
      <c r="C50" s="6" t="s">
        <v>212</v>
      </c>
      <c r="D50" s="6" t="s">
        <v>213</v>
      </c>
      <c r="E50" s="12" t="s">
        <v>214</v>
      </c>
      <c r="F50" s="7">
        <v>33.47</v>
      </c>
      <c r="G50" s="7"/>
      <c r="H50" s="7">
        <f>IF(F50="","",IF(G50="",F50,G50))</f>
        <v>33.47</v>
      </c>
      <c r="I50" s="6" t="s">
        <v>44</v>
      </c>
      <c r="J50" s="7">
        <v>0</v>
      </c>
      <c r="K50" s="7">
        <v>0</v>
      </c>
      <c r="L50" s="7">
        <f>IF(H50="","",IF(I50="Grocery add-on",H50,H50+N(J50)+N(K50)))</f>
        <v>33.47</v>
      </c>
      <c r="M50" s="8">
        <v>30</v>
      </c>
      <c r="N50" s="8">
        <v>300</v>
      </c>
      <c r="O50" s="8">
        <f>IF(OR(M50="",N50=""),"",M50*N50)</f>
        <v>9000</v>
      </c>
      <c r="P50" s="8">
        <v>3</v>
      </c>
      <c r="Q50" s="8"/>
      <c r="R50" s="8"/>
      <c r="S50" s="9" t="str">
        <f>IF(OR(Q50="",R50=""),"",Q50*R50/1000000)</f>
        <v/>
      </c>
      <c r="T50" s="9" t="str">
        <f>IF(OR(O50="",S50=""),"",O50*S50)</f>
        <v/>
      </c>
      <c r="U50" s="6">
        <f>IFERROR(L50/M50,"")</f>
        <v>1.1156666666666666</v>
      </c>
      <c r="V50" s="6">
        <f>IFERROR(L50/O50*100,"")</f>
        <v>0.37188888888888888</v>
      </c>
      <c r="W50" s="6" t="str">
        <f>IFERROR(L50/T50,"")</f>
        <v/>
      </c>
      <c r="X50" s="10">
        <v>3.7</v>
      </c>
      <c r="Y50" s="8">
        <v>22</v>
      </c>
      <c r="Z50" s="7" t="s">
        <v>45</v>
      </c>
      <c r="AA50" s="7" t="s">
        <v>45</v>
      </c>
      <c r="AB50" s="7" t="s">
        <v>145</v>
      </c>
      <c r="AC50" s="7" t="str">
        <f>IF(A50="","",IF(AND(H50&lt;&gt;"",M50&lt;&gt;"",N50&lt;&gt;"",P50=3,Z50="Yes",AA50="Yes"),"High",IF(AND(H50&lt;&gt;"",M50&lt;&gt;"",N50&lt;&gt;""),"Medium","Low")))</f>
        <v>High</v>
      </c>
      <c r="AD50" s="7" t="str">
        <f>IF(AND(P50&gt;=3,Z50="Yes",AA50="Yes",O50&lt;&gt;"",L50&lt;&gt;""),"Include","Exclude")</f>
        <v>Include</v>
      </c>
      <c r="AE50" s="6">
        <f>IF(A50="","",IF(OR(ListingsTable[[#This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1.05</v>
      </c>
      <c r="AF50" s="11">
        <f>IF(AD50="Include",V50*AE50,"")</f>
        <v>0.39048333333333335</v>
      </c>
      <c r="AG50" s="71">
        <f>IF(AF50="","",COUNTIFS($AF$2:$AF$76,"&lt;"&amp;AF50,$AD$2:$AD$76,"Include")+COUNTIFS($AF$2:AF50,AF50,$AD$2:AD50,"Include"))</f>
        <v>49</v>
      </c>
      <c r="AH50" s="71"/>
      <c r="AI50" s="6"/>
    </row>
    <row r="51" spans="1:35" s="24" customFormat="1" ht="44">
      <c r="A51" s="5">
        <v>46188</v>
      </c>
      <c r="B51" s="6" t="s">
        <v>60</v>
      </c>
      <c r="C51" s="6" t="s">
        <v>187</v>
      </c>
      <c r="D51" s="6" t="s">
        <v>188</v>
      </c>
      <c r="E51" s="12" t="s">
        <v>189</v>
      </c>
      <c r="F51" s="7">
        <v>19.989999999999998</v>
      </c>
      <c r="G51" s="7"/>
      <c r="H51" s="7">
        <f>IF(F51="","",IF(G51="",F51,G51))</f>
        <v>19.989999999999998</v>
      </c>
      <c r="I51" s="6" t="s">
        <v>44</v>
      </c>
      <c r="J51" s="7">
        <v>0</v>
      </c>
      <c r="K51" s="7">
        <v>0</v>
      </c>
      <c r="L51" s="7">
        <f>IF(H51="","",IF(I51="Grocery add-on",H51,H51+N(J51)+N(K51)))</f>
        <v>19.989999999999998</v>
      </c>
      <c r="M51" s="8">
        <v>24</v>
      </c>
      <c r="N51" s="8">
        <v>200</v>
      </c>
      <c r="O51" s="8">
        <f>IF(OR(M51="",N51=""),"",M51*N51)</f>
        <v>4800</v>
      </c>
      <c r="P51" s="8">
        <v>3</v>
      </c>
      <c r="Q51" s="8"/>
      <c r="R51" s="8"/>
      <c r="S51" s="9" t="str">
        <f>IF(OR(Q51="",R51=""),"",Q51*R51/1000000)</f>
        <v/>
      </c>
      <c r="T51" s="9" t="str">
        <f>IF(OR(O51="",S51=""),"",O51*S51)</f>
        <v/>
      </c>
      <c r="U51" s="6">
        <f>IFERROR(L51/M51,"")</f>
        <v>0.83291666666666664</v>
      </c>
      <c r="V51" s="6">
        <f>IFERROR(L51/O51*100,"")</f>
        <v>0.41645833333333326</v>
      </c>
      <c r="W51" s="6" t="str">
        <f>IFERROR(L51/T51,"")</f>
        <v/>
      </c>
      <c r="X51" s="10">
        <v>4.5999999999999996</v>
      </c>
      <c r="Y51" s="8">
        <v>175</v>
      </c>
      <c r="Z51" s="7" t="s">
        <v>45</v>
      </c>
      <c r="AA51" s="7" t="s">
        <v>45</v>
      </c>
      <c r="AB51" s="7" t="s">
        <v>145</v>
      </c>
      <c r="AC51" s="7" t="str">
        <f>IF(A51="","",IF(AND(H51&lt;&gt;"",M51&lt;&gt;"",N51&lt;&gt;"",P51=3,Z51="Yes",AA51="Yes"),"High",IF(AND(H51&lt;&gt;"",M51&lt;&gt;"",N51&lt;&gt;""),"Medium","Low")))</f>
        <v>High</v>
      </c>
      <c r="AD51" s="7" t="str">
        <f>IF(AND(P51&gt;=3,Z51="Yes",AA51="Yes",O51&lt;&gt;"",L51&lt;&gt;""),"Include","Exclude")</f>
        <v>Include</v>
      </c>
      <c r="AE51" s="6">
        <f>IF(A51="","",IF(OR(ListingsTable[[#This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51" s="11">
        <f>IF(AD51="Include",V51*AE51,"")</f>
        <v>0.39563541666666657</v>
      </c>
      <c r="AG51" s="71">
        <f>IF(AF51="","",COUNTIFS($AF$2:$AF$76,"&lt;"&amp;AF51,$AD$2:$AD$76,"Include")+COUNTIFS($AF$2:AF51,AF51,$AD$2:AD51,"Include"))</f>
        <v>50</v>
      </c>
      <c r="AH51" s="71"/>
      <c r="AI51" s="6"/>
    </row>
    <row r="52" spans="1:35" s="24" customFormat="1" ht="44">
      <c r="A52" s="5">
        <v>46188</v>
      </c>
      <c r="B52" s="6" t="s">
        <v>60</v>
      </c>
      <c r="C52" s="6" t="s">
        <v>231</v>
      </c>
      <c r="D52" s="6" t="s">
        <v>232</v>
      </c>
      <c r="E52" s="12" t="s">
        <v>233</v>
      </c>
      <c r="F52" s="7">
        <v>6.99</v>
      </c>
      <c r="G52" s="7"/>
      <c r="H52" s="7">
        <f>IF(F52="","",IF(G52="",F52,G52))</f>
        <v>6.99</v>
      </c>
      <c r="I52" s="6" t="s">
        <v>44</v>
      </c>
      <c r="J52" s="7">
        <v>0</v>
      </c>
      <c r="K52" s="7">
        <v>0</v>
      </c>
      <c r="L52" s="7">
        <f>IF(H52="","",IF(I52="Grocery add-on",H52,H52+N(J52)+N(K52)))</f>
        <v>6.99</v>
      </c>
      <c r="M52" s="8">
        <v>12</v>
      </c>
      <c r="N52" s="8">
        <v>145</v>
      </c>
      <c r="O52" s="8">
        <f>IF(OR(M52="",N52=""),"",M52*N52)</f>
        <v>1740</v>
      </c>
      <c r="P52" s="8">
        <v>3</v>
      </c>
      <c r="Q52" s="8">
        <v>105</v>
      </c>
      <c r="R52" s="8">
        <v>115</v>
      </c>
      <c r="S52" s="9">
        <f>IF(OR(Q52="",R52=""),"",Q52*R52/1000000)</f>
        <v>1.2075000000000001E-2</v>
      </c>
      <c r="T52" s="9">
        <f>IF(OR(O52="",S52=""),"",O52*S52)</f>
        <v>21.0105</v>
      </c>
      <c r="U52" s="6">
        <f>IFERROR(L52/M52,"")</f>
        <v>0.58250000000000002</v>
      </c>
      <c r="V52" s="6">
        <f>IFERROR(L52/O52*100,"")</f>
        <v>0.40172413793103445</v>
      </c>
      <c r="W52" s="6">
        <f>IFERROR(L52/T52,"")</f>
        <v>0.33269079745841368</v>
      </c>
      <c r="X52" s="10">
        <v>4.2</v>
      </c>
      <c r="Y52" s="8">
        <v>63</v>
      </c>
      <c r="Z52" s="7" t="s">
        <v>45</v>
      </c>
      <c r="AA52" s="7" t="s">
        <v>45</v>
      </c>
      <c r="AB52" s="7" t="s">
        <v>145</v>
      </c>
      <c r="AC52" s="7" t="str">
        <f>IF(A52="","",IF(AND(H52&lt;&gt;"",M52&lt;&gt;"",N52&lt;&gt;"",P52=3,Z52="Yes",AA52="Yes"),"High",IF(AND(H52&lt;&gt;"",M52&lt;&gt;"",N52&lt;&gt;""),"Medium","Low")))</f>
        <v>High</v>
      </c>
      <c r="AD52" s="7" t="str">
        <f>IF(AND(P52&gt;=3,Z52="Yes",AA52="Yes",O52&lt;&gt;"",L52&lt;&gt;""),"Include","Exclude")</f>
        <v>Include</v>
      </c>
      <c r="AE52" s="6">
        <f>IF(A52="","",IF(OR(ListingsTable[[#This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2" s="11">
        <f>IF(AD52="Include",V52*AE52,"")</f>
        <v>0.40172413793103445</v>
      </c>
      <c r="AG52" s="71">
        <f>IF(AF52="","",COUNTIFS($AF$2:$AF$76,"&lt;"&amp;AF52,$AD$2:$AD$76,"Include")+COUNTIFS($AF$2:AF52,AF52,$AD$2:AD52,"Include"))</f>
        <v>51</v>
      </c>
      <c r="AH52" s="71"/>
      <c r="AI52" s="6"/>
    </row>
    <row r="53" spans="1:35" s="24" customFormat="1" ht="44">
      <c r="A53" s="5">
        <v>46188</v>
      </c>
      <c r="B53" s="6" t="s">
        <v>60</v>
      </c>
      <c r="C53" s="6" t="s">
        <v>204</v>
      </c>
      <c r="D53" s="6" t="s">
        <v>205</v>
      </c>
      <c r="E53" s="12" t="s">
        <v>206</v>
      </c>
      <c r="F53" s="7">
        <v>9.99</v>
      </c>
      <c r="G53" s="7"/>
      <c r="H53" s="7">
        <f>IF(F53="","",IF(G53="",F53,G53))</f>
        <v>9.99</v>
      </c>
      <c r="I53" s="6" t="s">
        <v>44</v>
      </c>
      <c r="J53" s="7">
        <v>0</v>
      </c>
      <c r="K53" s="7">
        <v>0</v>
      </c>
      <c r="L53" s="7">
        <f>IF(H53="","",IF(I53="Grocery add-on",H53,H53+N(J53)+N(K53)))</f>
        <v>9.99</v>
      </c>
      <c r="M53" s="8">
        <v>12</v>
      </c>
      <c r="N53" s="8">
        <v>200</v>
      </c>
      <c r="O53" s="8">
        <f>IF(OR(M53="",N53=""),"",M53*N53)</f>
        <v>2400</v>
      </c>
      <c r="P53" s="8">
        <v>3</v>
      </c>
      <c r="Q53" s="8"/>
      <c r="R53" s="8"/>
      <c r="S53" s="9" t="str">
        <f>IF(OR(Q53="",R53=""),"",Q53*R53/1000000)</f>
        <v/>
      </c>
      <c r="T53" s="9" t="str">
        <f>IF(OR(O53="",S53=""),"",O53*S53)</f>
        <v/>
      </c>
      <c r="U53" s="6">
        <f>IFERROR(L53/M53,"")</f>
        <v>0.83250000000000002</v>
      </c>
      <c r="V53" s="6">
        <f>IFERROR(L53/O53*100,"")</f>
        <v>0.41625000000000006</v>
      </c>
      <c r="W53" s="6" t="str">
        <f>IFERROR(L53/T53,"")</f>
        <v/>
      </c>
      <c r="X53" s="10">
        <v>4.2</v>
      </c>
      <c r="Y53" s="8">
        <v>1583</v>
      </c>
      <c r="Z53" s="7" t="s">
        <v>45</v>
      </c>
      <c r="AA53" s="7" t="s">
        <v>45</v>
      </c>
      <c r="AB53" s="7" t="s">
        <v>145</v>
      </c>
      <c r="AC53" s="7" t="str">
        <f>IF(A53="","",IF(AND(H53&lt;&gt;"",M53&lt;&gt;"",N53&lt;&gt;"",P53=3,Z53="Yes",AA53="Yes"),"High",IF(AND(H53&lt;&gt;"",M53&lt;&gt;"",N53&lt;&gt;""),"Medium","Low")))</f>
        <v>High</v>
      </c>
      <c r="AD53" s="7" t="str">
        <f>IF(AND(P53&gt;=3,Z53="Yes",AA53="Yes",O53&lt;&gt;"",L53&lt;&gt;""),"Include","Exclude")</f>
        <v>Include</v>
      </c>
      <c r="AE53" s="6">
        <f>IF(A53="","",IF(OR(ListingsTable[[#This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3" s="11">
        <f>IF(AD53="Include",V53*AE53,"")</f>
        <v>0.41625000000000006</v>
      </c>
      <c r="AG53" s="71">
        <f>IF(AF53="","",COUNTIFS($AF$2:$AF$76,"&lt;"&amp;AF53,$AD$2:$AD$76,"Include")+COUNTIFS($AF$2:AF53,AF53,$AD$2:AD53,"Include"))</f>
        <v>52</v>
      </c>
      <c r="AH53" s="71"/>
      <c r="AI53" s="6"/>
    </row>
    <row r="54" spans="1:35" s="24" customFormat="1" ht="44">
      <c r="A54" s="5">
        <v>46185</v>
      </c>
      <c r="B54" s="6" t="s">
        <v>66</v>
      </c>
      <c r="C54" s="6" t="s">
        <v>89</v>
      </c>
      <c r="D54" s="6" t="s">
        <v>138</v>
      </c>
      <c r="E54" s="12" t="s">
        <v>90</v>
      </c>
      <c r="F54" s="7">
        <v>13.25</v>
      </c>
      <c r="G54" s="7"/>
      <c r="H54" s="7">
        <f>IF(F54="","",IF(G54="",F54,G54))</f>
        <v>13.25</v>
      </c>
      <c r="I54" s="6" t="s">
        <v>44</v>
      </c>
      <c r="J54" s="7">
        <v>0</v>
      </c>
      <c r="K54" s="7">
        <v>0</v>
      </c>
      <c r="L54" s="7">
        <f>IF(H54="","",IF(I54="Grocery add-on",H54,H54+N(J54)+N(K54)))</f>
        <v>13.25</v>
      </c>
      <c r="M54" s="8">
        <v>12</v>
      </c>
      <c r="N54" s="8">
        <v>236</v>
      </c>
      <c r="O54" s="8">
        <f>IF(OR(M54="",N54=""),"",M54*N54)</f>
        <v>2832</v>
      </c>
      <c r="P54" s="8">
        <v>3</v>
      </c>
      <c r="Q54" s="8"/>
      <c r="R54" s="8"/>
      <c r="S54" s="9" t="str">
        <f>IF(OR(Q54="",R54=""),"",Q54*R54/1000000)</f>
        <v/>
      </c>
      <c r="T54" s="9" t="str">
        <f>IF(OR(O54="",S54=""),"",O54*S54)</f>
        <v/>
      </c>
      <c r="U54" s="6">
        <f>IFERROR(L54/M54,"")</f>
        <v>1.1041666666666667</v>
      </c>
      <c r="V54" s="6">
        <f>IFERROR(L54/O54*100,"")</f>
        <v>0.46786723163841809</v>
      </c>
      <c r="W54" s="6" t="str">
        <f>IFERROR(L54/T54,"")</f>
        <v/>
      </c>
      <c r="X54" s="10">
        <v>4.7</v>
      </c>
      <c r="Y54" s="8">
        <v>1874</v>
      </c>
      <c r="Z54" s="7" t="s">
        <v>45</v>
      </c>
      <c r="AA54" s="7" t="s">
        <v>45</v>
      </c>
      <c r="AB54" s="7" t="s">
        <v>145</v>
      </c>
      <c r="AC54" s="7" t="str">
        <f>IF(A54="","",IF(AND(H54&lt;&gt;"",M54&lt;&gt;"",N54&lt;&gt;"",P54=3,Z54="Yes",AA54="Yes"),"High",IF(AND(H54&lt;&gt;"",M54&lt;&gt;"",N54&lt;&gt;""),"Medium","Low")))</f>
        <v>High</v>
      </c>
      <c r="AD54" s="7" t="str">
        <f>IF(AND(P54&gt;=3,Z54="Yes",AA54="Yes",O54&lt;&gt;"",L54&lt;&gt;""),"Include","Exclude")</f>
        <v>Include</v>
      </c>
      <c r="AE54" s="6">
        <f>IF(A54="","",IF(OR(ListingsTable[[#This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0.95</v>
      </c>
      <c r="AF54" s="11">
        <f>IF(AD54="Include",V54*AE54,"")</f>
        <v>0.44447387005649719</v>
      </c>
      <c r="AG54" s="71">
        <f>IF(AF54="","",COUNTIFS($AF$2:$AF$76,"&lt;"&amp;AF54,$AD$2:$AD$76,"Include")+COUNTIFS($AF$2:AF54,AF54,$AD$2:AD54,"Include"))</f>
        <v>53</v>
      </c>
      <c r="AH54" s="71"/>
      <c r="AI54" s="6"/>
    </row>
    <row r="55" spans="1:35" s="24" customFormat="1" ht="44">
      <c r="A55" s="5">
        <v>46188</v>
      </c>
      <c r="B55" s="6" t="s">
        <v>60</v>
      </c>
      <c r="C55" s="6" t="s">
        <v>226</v>
      </c>
      <c r="D55" s="6" t="s">
        <v>227</v>
      </c>
      <c r="E55" s="12" t="s">
        <v>228</v>
      </c>
      <c r="F55" s="7">
        <v>32.340000000000003</v>
      </c>
      <c r="G55" s="7"/>
      <c r="H55" s="7">
        <f>IF(F55="","",IF(G55="",F55,G55))</f>
        <v>32.340000000000003</v>
      </c>
      <c r="I55" s="6" t="s">
        <v>44</v>
      </c>
      <c r="J55" s="7">
        <v>0</v>
      </c>
      <c r="K55" s="7">
        <v>0</v>
      </c>
      <c r="L55" s="7">
        <f>IF(H55="","",IF(I55="Grocery add-on",H55,H55+N(J55)+N(K55)))</f>
        <v>32.340000000000003</v>
      </c>
      <c r="M55" s="8">
        <v>24</v>
      </c>
      <c r="N55" s="8">
        <v>160</v>
      </c>
      <c r="O55" s="8">
        <f>IF(OR(M55="",N55=""),"",M55*N55)</f>
        <v>3840</v>
      </c>
      <c r="P55" s="8">
        <v>4</v>
      </c>
      <c r="Q55" s="8"/>
      <c r="R55" s="8"/>
      <c r="S55" s="9" t="str">
        <f>IF(OR(Q55="",R55=""),"",Q55*R55/1000000)</f>
        <v/>
      </c>
      <c r="T55" s="9" t="str">
        <f>IF(OR(O55="",S55=""),"",O55*S55)</f>
        <v/>
      </c>
      <c r="U55" s="6">
        <f>IFERROR(L55/M55,"")</f>
        <v>1.3475000000000001</v>
      </c>
      <c r="V55" s="6">
        <f>IFERROR(L55/O55*100,"")</f>
        <v>0.84218750000000009</v>
      </c>
      <c r="W55" s="6" t="str">
        <f>IFERROR(L55/T55,"")</f>
        <v/>
      </c>
      <c r="X55" s="10">
        <v>4.4000000000000004</v>
      </c>
      <c r="Y55" s="8">
        <v>1720</v>
      </c>
      <c r="Z55" s="7" t="s">
        <v>45</v>
      </c>
      <c r="AA55" s="7" t="s">
        <v>45</v>
      </c>
      <c r="AB55" s="7" t="s">
        <v>145</v>
      </c>
      <c r="AC55" s="7" t="str">
        <f>IF(A55="","",IF(AND(H55&lt;&gt;"",M55&lt;&gt;"",N55&lt;&gt;"",P55=3,Z55="Yes",AA55="Yes"),"High",IF(AND(H55&lt;&gt;"",M55&lt;&gt;"",N55&lt;&gt;""),"Medium","Low")))</f>
        <v>Medium</v>
      </c>
      <c r="AD55" s="7" t="str">
        <f>IF(AND(P55&gt;=3,Z55="Yes",AA55="Yes",O55&lt;&gt;"",L55&lt;&gt;""),"Include","Exclude")</f>
        <v>Include</v>
      </c>
      <c r="AE55" s="6">
        <f>IF(A55="","",IF(OR(ListingsTable[[#This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5" s="11">
        <f>IF(AD55="Include",V55*AE55,"")</f>
        <v>0.84218750000000009</v>
      </c>
      <c r="AG55" s="71">
        <f>IF(AF55="","",COUNTIFS($AF$2:$AF$76,"&lt;"&amp;AF55,$AD$2:$AD$76,"Include")+COUNTIFS($AF$2:AF55,AF55,$AD$2:AD55,"Include"))</f>
        <v>54</v>
      </c>
      <c r="AH55" s="71"/>
      <c r="AI55" s="6"/>
    </row>
    <row r="56" spans="1:35" s="24" customFormat="1" ht="44">
      <c r="A56" s="5">
        <v>46188</v>
      </c>
      <c r="B56" s="6" t="s">
        <v>60</v>
      </c>
      <c r="C56" s="6" t="s">
        <v>220</v>
      </c>
      <c r="D56" s="6" t="s">
        <v>93</v>
      </c>
      <c r="E56" s="12" t="s">
        <v>221</v>
      </c>
      <c r="F56" s="7">
        <v>4.99</v>
      </c>
      <c r="G56" s="7"/>
      <c r="H56" s="7">
        <v>4.99</v>
      </c>
      <c r="I56" s="6" t="s">
        <v>44</v>
      </c>
      <c r="J56" s="7">
        <v>0</v>
      </c>
      <c r="K56" s="7">
        <v>0</v>
      </c>
      <c r="L56" s="7">
        <f>IF(H56="","",IF(I56="Grocery add-on",H56,H56+N(J56)+N(K56)))</f>
        <v>4.99</v>
      </c>
      <c r="M56" s="8">
        <v>4</v>
      </c>
      <c r="N56" s="8">
        <v>100</v>
      </c>
      <c r="O56" s="8">
        <f>IF(OR(M56="",N56=""),"",M56*N56)</f>
        <v>400</v>
      </c>
      <c r="P56" s="8">
        <v>4</v>
      </c>
      <c r="Q56" s="8"/>
      <c r="R56" s="8"/>
      <c r="S56" s="9" t="str">
        <f>IF(OR(Q56="",R56=""),"",Q56*R56/1000000)</f>
        <v/>
      </c>
      <c r="T56" s="9" t="str">
        <f>IF(OR(O56="",S56=""),"",O56*S56)</f>
        <v/>
      </c>
      <c r="U56" s="6">
        <f>IFERROR(L56/M56,"")</f>
        <v>1.2475000000000001</v>
      </c>
      <c r="V56" s="6">
        <f>IFERROR(L56/O56*100,"")</f>
        <v>1.2475000000000001</v>
      </c>
      <c r="W56" s="6" t="str">
        <f>IFERROR(L56/T56,"")</f>
        <v/>
      </c>
      <c r="X56" s="10">
        <v>4.4000000000000004</v>
      </c>
      <c r="Y56" s="8">
        <v>3803</v>
      </c>
      <c r="Z56" s="7" t="s">
        <v>45</v>
      </c>
      <c r="AA56" s="7" t="s">
        <v>45</v>
      </c>
      <c r="AB56" s="7" t="s">
        <v>145</v>
      </c>
      <c r="AC56" s="7" t="str">
        <f>IF(A56="","",IF(AND(H56&lt;&gt;"",M56&lt;&gt;"",N56&lt;&gt;"",P56=3,Z56="Yes",AA56="Yes"),"High",IF(AND(H56&lt;&gt;"",M56&lt;&gt;"",N56&lt;&gt;""),"Medium","Low")))</f>
        <v>Medium</v>
      </c>
      <c r="AD56" s="7" t="str">
        <f>IF(AND(P56&gt;=3,Z56="Yes",AA56="Yes",O56&lt;&gt;"",L56&lt;&gt;""),"Include","Exclude")</f>
        <v>Include</v>
      </c>
      <c r="AE56" s="6">
        <f>IF(A56="","",IF(OR(ListingsTable[[#This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>1</v>
      </c>
      <c r="AF56" s="11">
        <f>IF(AD56="Include",V56*AE56,"")</f>
        <v>1.2475000000000001</v>
      </c>
      <c r="AG56" s="71">
        <f>IF(AF56="","",COUNTIFS($AF$2:$AF$76,"&lt;"&amp;AF56,$AD$2:$AD$76,"Include")+COUNTIFS($AF$2:AF56,AF56,$AD$2:AD56,"Include"))</f>
        <v>55</v>
      </c>
      <c r="AH56" s="71"/>
      <c r="AI56" s="6"/>
    </row>
    <row r="57" spans="1:35" s="24" customFormat="1">
      <c r="A57" s="72"/>
      <c r="B57" s="73"/>
      <c r="C57" s="73"/>
      <c r="D57" s="6"/>
      <c r="E57" s="74"/>
      <c r="F57" s="75"/>
      <c r="G57" s="75"/>
      <c r="H57" s="75"/>
      <c r="I57" s="73"/>
      <c r="J57" s="75"/>
      <c r="K57" s="75"/>
      <c r="L57" s="75"/>
      <c r="M57" s="76"/>
      <c r="N57" s="76"/>
      <c r="O57" s="76"/>
      <c r="P57" s="76"/>
      <c r="Q57" s="76"/>
      <c r="R57" s="76"/>
      <c r="S57" s="77"/>
      <c r="T57" s="77"/>
      <c r="U57" s="78"/>
      <c r="V57" s="78"/>
      <c r="W57" s="78"/>
      <c r="X57" s="79"/>
      <c r="Y57" s="76"/>
      <c r="Z57" s="75"/>
      <c r="AA57" s="75"/>
      <c r="AB57" s="7"/>
      <c r="AC57" s="75"/>
      <c r="AD57" s="75" t="str">
        <f>IF(AND(P57&gt;=3,Z57="Yes",AA57="Yes",O57&lt;&gt;"",L57&lt;&gt;""),"Include","Exclude")</f>
        <v>Exclude</v>
      </c>
      <c r="AE57" s="78" t="str">
        <f>IF(A57="","",IF(OR(ListingsTable[[#This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57" s="80"/>
      <c r="AG57" s="80"/>
      <c r="AH57" s="71"/>
      <c r="AI57" s="73"/>
    </row>
    <row r="58" spans="1:35" s="24" customFormat="1">
      <c r="A58" s="72"/>
      <c r="B58" s="73"/>
      <c r="C58" s="73"/>
      <c r="D58" s="6"/>
      <c r="E58" s="74"/>
      <c r="F58" s="75"/>
      <c r="G58" s="75"/>
      <c r="H58" s="75"/>
      <c r="I58" s="73"/>
      <c r="J58" s="75"/>
      <c r="K58" s="75"/>
      <c r="L58" s="75"/>
      <c r="M58" s="76"/>
      <c r="N58" s="76"/>
      <c r="O58" s="76"/>
      <c r="P58" s="76"/>
      <c r="Q58" s="76"/>
      <c r="R58" s="76"/>
      <c r="S58" s="77"/>
      <c r="T58" s="77"/>
      <c r="U58" s="78"/>
      <c r="V58" s="78"/>
      <c r="W58" s="78"/>
      <c r="X58" s="79"/>
      <c r="Y58" s="76"/>
      <c r="Z58" s="75"/>
      <c r="AA58" s="75"/>
      <c r="AB58" s="7"/>
      <c r="AC58" s="75"/>
      <c r="AD58" s="75" t="str">
        <f>IF(AND(P58&gt;=3,Z58="Yes",AA58="Yes",O58&lt;&gt;"",L58&lt;&gt;""),"Include","Exclude")</f>
        <v>Exclude</v>
      </c>
      <c r="AE58" s="78" t="str">
        <f>IF(A58="","",IF(OR(ListingsTable[[#This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58" s="80"/>
      <c r="AG58" s="80"/>
      <c r="AH58" s="71"/>
      <c r="AI58" s="73"/>
    </row>
    <row r="59" spans="1:35" s="24" customFormat="1">
      <c r="A59" s="72"/>
      <c r="B59" s="73"/>
      <c r="C59" s="73"/>
      <c r="D59" s="6"/>
      <c r="E59" s="74"/>
      <c r="F59" s="75"/>
      <c r="G59" s="75"/>
      <c r="H59" s="75"/>
      <c r="I59" s="73"/>
      <c r="J59" s="75"/>
      <c r="K59" s="75"/>
      <c r="L59" s="75"/>
      <c r="M59" s="76"/>
      <c r="N59" s="76"/>
      <c r="O59" s="76"/>
      <c r="P59" s="76"/>
      <c r="Q59" s="76"/>
      <c r="R59" s="76"/>
      <c r="S59" s="77"/>
      <c r="T59" s="77"/>
      <c r="U59" s="78"/>
      <c r="V59" s="78"/>
      <c r="W59" s="78"/>
      <c r="X59" s="79"/>
      <c r="Y59" s="76"/>
      <c r="Z59" s="75"/>
      <c r="AA59" s="75"/>
      <c r="AB59" s="7"/>
      <c r="AC59" s="75"/>
      <c r="AD59" s="75" t="str">
        <f>IF(AND(P59&gt;=3,Z59="Yes",AA59="Yes",O59&lt;&gt;"",L59&lt;&gt;""),"Include","Exclude")</f>
        <v>Exclude</v>
      </c>
      <c r="AE59" s="78" t="str">
        <f>IF(A59="","",IF(OR(ListingsTable[[#This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59" s="80"/>
      <c r="AG59" s="80"/>
      <c r="AH59" s="71"/>
      <c r="AI59" s="73"/>
    </row>
    <row r="60" spans="1:35" s="24" customFormat="1">
      <c r="A60" s="72"/>
      <c r="B60" s="73"/>
      <c r="C60" s="73"/>
      <c r="D60" s="6"/>
      <c r="E60" s="74"/>
      <c r="F60" s="75"/>
      <c r="G60" s="75"/>
      <c r="H60" s="75"/>
      <c r="I60" s="73"/>
      <c r="J60" s="75"/>
      <c r="K60" s="75"/>
      <c r="L60" s="75"/>
      <c r="M60" s="76"/>
      <c r="N60" s="76"/>
      <c r="O60" s="76"/>
      <c r="P60" s="76"/>
      <c r="Q60" s="76"/>
      <c r="R60" s="76"/>
      <c r="S60" s="77"/>
      <c r="T60" s="77"/>
      <c r="U60" s="78"/>
      <c r="V60" s="78"/>
      <c r="W60" s="78"/>
      <c r="X60" s="79"/>
      <c r="Y60" s="76"/>
      <c r="Z60" s="75"/>
      <c r="AA60" s="75"/>
      <c r="AB60" s="7"/>
      <c r="AC60" s="75"/>
      <c r="AD60" s="75" t="str">
        <f>IF(AND(P60&gt;=3,Z60="Yes",AA60="Yes",O60&lt;&gt;"",L60&lt;&gt;""),"Include","Exclude")</f>
        <v>Exclude</v>
      </c>
      <c r="AE60" s="78" t="str">
        <f>IF(A60="","",IF(OR(ListingsTable[[#This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0" s="80"/>
      <c r="AG60" s="80"/>
      <c r="AH60" s="71"/>
      <c r="AI60" s="73"/>
    </row>
    <row r="61" spans="1:35" s="24" customFormat="1" ht="22">
      <c r="A61" s="72"/>
      <c r="B61" s="73"/>
      <c r="C61" s="73"/>
      <c r="D61" s="6"/>
      <c r="E61" s="74"/>
      <c r="F61" s="75"/>
      <c r="G61" s="75"/>
      <c r="H61" s="75"/>
      <c r="I61" s="73"/>
      <c r="J61" s="75"/>
      <c r="K61" s="75"/>
      <c r="L61" s="75"/>
      <c r="M61" s="76"/>
      <c r="N61" s="76"/>
      <c r="O61" s="76"/>
      <c r="P61" s="76"/>
      <c r="Q61" s="76"/>
      <c r="R61" s="76"/>
      <c r="S61" s="77"/>
      <c r="T61" s="77"/>
      <c r="U61" s="78"/>
      <c r="V61" s="78"/>
      <c r="W61" s="78"/>
      <c r="X61" s="79"/>
      <c r="Y61" s="76"/>
      <c r="Z61" s="75"/>
      <c r="AA61" s="75"/>
      <c r="AB61" s="7"/>
      <c r="AC61" s="75"/>
      <c r="AD61" s="75" t="str">
        <f>IF(AND(P61&gt;=3,Z61="Yes",AA61="Yes",O61&lt;&gt;"",L61&lt;&gt;""),"Include","Exclude")</f>
        <v>Exclude</v>
      </c>
      <c r="AE61" s="78" t="str">
        <f>IF(A61="","",IF(OR(ListingsTable[[#This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1" s="80"/>
      <c r="AG61" s="80"/>
      <c r="AH61" s="71"/>
      <c r="AI61" s="73"/>
    </row>
    <row r="62" spans="1:35" s="24" customFormat="1">
      <c r="A62" s="72"/>
      <c r="B62" s="73"/>
      <c r="C62" s="73"/>
      <c r="D62" s="6"/>
      <c r="E62" s="74"/>
      <c r="F62" s="75"/>
      <c r="G62" s="75"/>
      <c r="H62" s="75"/>
      <c r="I62" s="73"/>
      <c r="J62" s="75"/>
      <c r="K62" s="75"/>
      <c r="L62" s="75"/>
      <c r="M62" s="76"/>
      <c r="N62" s="76"/>
      <c r="O62" s="76"/>
      <c r="P62" s="76"/>
      <c r="Q62" s="76"/>
      <c r="R62" s="76"/>
      <c r="S62" s="77"/>
      <c r="T62" s="77"/>
      <c r="U62" s="78"/>
      <c r="V62" s="78"/>
      <c r="W62" s="78"/>
      <c r="X62" s="79"/>
      <c r="Y62" s="76"/>
      <c r="Z62" s="75"/>
      <c r="AA62" s="75"/>
      <c r="AB62" s="7"/>
      <c r="AC62" s="75"/>
      <c r="AD62" s="75" t="str">
        <f>IF(AND(P62&gt;=3,Z62="Yes",AA62="Yes",O62&lt;&gt;"",L62&lt;&gt;""),"Include","Exclude")</f>
        <v>Exclude</v>
      </c>
      <c r="AE62" s="78" t="str">
        <f>IF(A62="","",IF(OR(ListingsTable[[#This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2" s="80"/>
      <c r="AG62" s="80"/>
      <c r="AH62" s="71"/>
      <c r="AI62" s="73"/>
    </row>
    <row r="63" spans="1:35" s="24" customFormat="1">
      <c r="A63" s="72"/>
      <c r="B63" s="73"/>
      <c r="C63" s="73"/>
      <c r="D63" s="6"/>
      <c r="E63" s="74"/>
      <c r="F63" s="75"/>
      <c r="G63" s="75"/>
      <c r="H63" s="75"/>
      <c r="I63" s="73"/>
      <c r="J63" s="75"/>
      <c r="K63" s="75"/>
      <c r="L63" s="75"/>
      <c r="M63" s="76"/>
      <c r="N63" s="76"/>
      <c r="O63" s="76"/>
      <c r="P63" s="76"/>
      <c r="Q63" s="76"/>
      <c r="R63" s="76"/>
      <c r="S63" s="77"/>
      <c r="T63" s="77"/>
      <c r="U63" s="78"/>
      <c r="V63" s="78"/>
      <c r="W63" s="78"/>
      <c r="X63" s="79"/>
      <c r="Y63" s="76"/>
      <c r="Z63" s="75"/>
      <c r="AA63" s="75"/>
      <c r="AB63" s="7"/>
      <c r="AC63" s="75"/>
      <c r="AD63" s="75" t="str">
        <f>IF(AND(P63&gt;=3,Z63="Yes",AA63="Yes",O63&lt;&gt;"",L63&lt;&gt;""),"Include","Exclude")</f>
        <v>Exclude</v>
      </c>
      <c r="AE63" s="78" t="str">
        <f>IF(A63="","",IF(OR(ListingsTable[[#This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3" s="80"/>
      <c r="AG63" s="80"/>
      <c r="AH63" s="71"/>
      <c r="AI63" s="73"/>
    </row>
    <row r="64" spans="1:35" s="24" customFormat="1">
      <c r="A64" s="72"/>
      <c r="B64" s="73"/>
      <c r="C64" s="73"/>
      <c r="D64" s="6"/>
      <c r="E64" s="74"/>
      <c r="F64" s="75"/>
      <c r="G64" s="75"/>
      <c r="H64" s="75"/>
      <c r="I64" s="73"/>
      <c r="J64" s="75"/>
      <c r="K64" s="75"/>
      <c r="L64" s="75"/>
      <c r="M64" s="76"/>
      <c r="N64" s="76"/>
      <c r="O64" s="76"/>
      <c r="P64" s="76"/>
      <c r="Q64" s="76"/>
      <c r="R64" s="76"/>
      <c r="S64" s="77"/>
      <c r="T64" s="77"/>
      <c r="U64" s="78"/>
      <c r="V64" s="78"/>
      <c r="W64" s="78"/>
      <c r="X64" s="79"/>
      <c r="Y64" s="76"/>
      <c r="Z64" s="75"/>
      <c r="AA64" s="75"/>
      <c r="AB64" s="7"/>
      <c r="AC64" s="75"/>
      <c r="AD64" s="75" t="str">
        <f>IF(AND(P64&gt;=3,Z64="Yes",AA64="Yes",O64&lt;&gt;"",L64&lt;&gt;""),"Include","Exclude")</f>
        <v>Exclude</v>
      </c>
      <c r="AE64" s="78" t="str">
        <f>IF(A64="","",IF(OR(ListingsTable[[#This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4" s="80"/>
      <c r="AG64" s="80"/>
      <c r="AH64" s="71"/>
      <c r="AI64" s="73"/>
    </row>
    <row r="65" spans="1:35" s="24" customFormat="1" ht="22">
      <c r="A65" s="72"/>
      <c r="B65" s="73"/>
      <c r="C65" s="73"/>
      <c r="D65" s="6"/>
      <c r="E65" s="74"/>
      <c r="F65" s="75"/>
      <c r="G65" s="75"/>
      <c r="H65" s="75"/>
      <c r="I65" s="73"/>
      <c r="J65" s="75"/>
      <c r="K65" s="75"/>
      <c r="L65" s="75"/>
      <c r="M65" s="76"/>
      <c r="N65" s="76"/>
      <c r="O65" s="76"/>
      <c r="P65" s="76"/>
      <c r="Q65" s="76"/>
      <c r="R65" s="76"/>
      <c r="S65" s="77"/>
      <c r="T65" s="77"/>
      <c r="U65" s="78"/>
      <c r="V65" s="78"/>
      <c r="W65" s="78"/>
      <c r="X65" s="79"/>
      <c r="Y65" s="76"/>
      <c r="Z65" s="75"/>
      <c r="AA65" s="75"/>
      <c r="AB65" s="7"/>
      <c r="AC65" s="75"/>
      <c r="AD65" s="75" t="str">
        <f>IF(AND(P65&gt;=3,Z65="Yes",AA65="Yes",O65&lt;&gt;"",L65&lt;&gt;""),"Include","Exclude")</f>
        <v>Exclude</v>
      </c>
      <c r="AE65" s="78" t="str">
        <f>IF(A65="","",IF(OR(ListingsTable[[#This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5" s="80"/>
      <c r="AG65" s="80"/>
      <c r="AH65" s="71"/>
      <c r="AI65" s="73"/>
    </row>
    <row r="66" spans="1:35" s="24" customFormat="1">
      <c r="A66" s="72"/>
      <c r="B66" s="73"/>
      <c r="C66" s="73"/>
      <c r="D66" s="6"/>
      <c r="E66" s="74"/>
      <c r="F66" s="75"/>
      <c r="G66" s="75"/>
      <c r="H66" s="75"/>
      <c r="I66" s="73"/>
      <c r="J66" s="75"/>
      <c r="K66" s="75"/>
      <c r="L66" s="75"/>
      <c r="M66" s="76"/>
      <c r="N66" s="76"/>
      <c r="O66" s="76"/>
      <c r="P66" s="76"/>
      <c r="Q66" s="76"/>
      <c r="R66" s="76"/>
      <c r="S66" s="77"/>
      <c r="T66" s="77"/>
      <c r="U66" s="78"/>
      <c r="V66" s="78"/>
      <c r="W66" s="78"/>
      <c r="X66" s="79"/>
      <c r="Y66" s="76"/>
      <c r="Z66" s="75"/>
      <c r="AA66" s="75"/>
      <c r="AB66" s="7"/>
      <c r="AC66" s="75"/>
      <c r="AD66" s="75" t="str">
        <f>IF(AND(P66&gt;=3,Z66="Yes",AA66="Yes",O66&lt;&gt;"",L66&lt;&gt;""),"Include","Exclude")</f>
        <v>Exclude</v>
      </c>
      <c r="AE66" s="78" t="str">
        <f>IF(A66="","",IF(OR(ListingsTable[[#This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6" s="80"/>
      <c r="AG66" s="80"/>
      <c r="AH66" s="71"/>
      <c r="AI66" s="73"/>
    </row>
    <row r="67" spans="1:35" s="24" customFormat="1">
      <c r="A67" s="72"/>
      <c r="B67" s="73"/>
      <c r="C67" s="73"/>
      <c r="D67" s="6"/>
      <c r="E67" s="74"/>
      <c r="F67" s="75"/>
      <c r="G67" s="75"/>
      <c r="H67" s="75"/>
      <c r="I67" s="73"/>
      <c r="J67" s="75"/>
      <c r="K67" s="75"/>
      <c r="L67" s="75"/>
      <c r="M67" s="76"/>
      <c r="N67" s="76"/>
      <c r="O67" s="76"/>
      <c r="P67" s="76"/>
      <c r="Q67" s="76"/>
      <c r="R67" s="76"/>
      <c r="S67" s="77"/>
      <c r="T67" s="77"/>
      <c r="U67" s="78"/>
      <c r="V67" s="78"/>
      <c r="W67" s="78"/>
      <c r="X67" s="79"/>
      <c r="Y67" s="76"/>
      <c r="Z67" s="75"/>
      <c r="AA67" s="75"/>
      <c r="AB67" s="7"/>
      <c r="AC67" s="75"/>
      <c r="AD67" s="75" t="str">
        <f>IF(AND(P67&gt;=3,Z67="Yes",AA67="Yes",O67&lt;&gt;"",L67&lt;&gt;""),"Include","Exclude")</f>
        <v>Exclude</v>
      </c>
      <c r="AE67" s="78" t="str">
        <f>IF(A67="","",IF(OR(ListingsTable[[#This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7" s="80"/>
      <c r="AG67" s="80"/>
      <c r="AH67" s="71"/>
      <c r="AI67" s="73"/>
    </row>
    <row r="68" spans="1:35" s="24" customFormat="1">
      <c r="A68" s="72"/>
      <c r="B68" s="73"/>
      <c r="C68" s="73"/>
      <c r="D68" s="6"/>
      <c r="E68" s="74"/>
      <c r="F68" s="75"/>
      <c r="G68" s="75"/>
      <c r="H68" s="75"/>
      <c r="I68" s="73"/>
      <c r="J68" s="75"/>
      <c r="K68" s="75"/>
      <c r="L68" s="75"/>
      <c r="M68" s="76"/>
      <c r="N68" s="76"/>
      <c r="O68" s="76"/>
      <c r="P68" s="76"/>
      <c r="Q68" s="76"/>
      <c r="R68" s="76"/>
      <c r="S68" s="77"/>
      <c r="T68" s="77"/>
      <c r="U68" s="78"/>
      <c r="V68" s="78"/>
      <c r="W68" s="78"/>
      <c r="X68" s="79"/>
      <c r="Y68" s="76"/>
      <c r="Z68" s="75"/>
      <c r="AA68" s="75"/>
      <c r="AB68" s="7"/>
      <c r="AC68" s="75"/>
      <c r="AD68" s="75" t="str">
        <f>IF(AND(P68&gt;=3,Z68="Yes",AA68="Yes",O68&lt;&gt;"",L68&lt;&gt;""),"Include","Exclude")</f>
        <v>Exclude</v>
      </c>
      <c r="AE68" s="78" t="str">
        <f>IF(A68="","",IF(OR(ListingsTable[[#This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8" s="80"/>
      <c r="AG68" s="80"/>
      <c r="AH68" s="71"/>
      <c r="AI68" s="73"/>
    </row>
    <row r="69" spans="1:35" s="24" customFormat="1" ht="22">
      <c r="A69" s="72"/>
      <c r="B69" s="73"/>
      <c r="C69" s="73"/>
      <c r="D69" s="6"/>
      <c r="E69" s="74"/>
      <c r="F69" s="75"/>
      <c r="G69" s="75"/>
      <c r="H69" s="75"/>
      <c r="I69" s="73"/>
      <c r="J69" s="75"/>
      <c r="K69" s="75"/>
      <c r="L69" s="75"/>
      <c r="M69" s="76"/>
      <c r="N69" s="76"/>
      <c r="O69" s="76"/>
      <c r="P69" s="76"/>
      <c r="Q69" s="76"/>
      <c r="R69" s="76"/>
      <c r="S69" s="77"/>
      <c r="T69" s="77"/>
      <c r="U69" s="78"/>
      <c r="V69" s="78"/>
      <c r="W69" s="78"/>
      <c r="X69" s="79"/>
      <c r="Y69" s="76"/>
      <c r="Z69" s="75"/>
      <c r="AA69" s="75"/>
      <c r="AB69" s="7"/>
      <c r="AC69" s="75"/>
      <c r="AD69" s="75" t="str">
        <f>IF(AND(P69&gt;=3,Z69="Yes",AA69="Yes",O69&lt;&gt;"",L69&lt;&gt;""),"Include","Exclude")</f>
        <v>Exclude</v>
      </c>
      <c r="AE69" s="78" t="str">
        <f>IF(A69="","",IF(OR(ListingsTable[[#This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69" s="80"/>
      <c r="AG69" s="80"/>
      <c r="AH69" s="71"/>
      <c r="AI69" s="73"/>
    </row>
    <row r="70" spans="1:35" s="24" customFormat="1">
      <c r="A70" s="72"/>
      <c r="B70" s="73"/>
      <c r="C70" s="73"/>
      <c r="D70" s="6"/>
      <c r="E70" s="74"/>
      <c r="F70" s="75"/>
      <c r="G70" s="75"/>
      <c r="H70" s="75"/>
      <c r="I70" s="73"/>
      <c r="J70" s="75"/>
      <c r="K70" s="75"/>
      <c r="L70" s="75"/>
      <c r="M70" s="76"/>
      <c r="N70" s="76"/>
      <c r="O70" s="76"/>
      <c r="P70" s="76"/>
      <c r="Q70" s="76"/>
      <c r="R70" s="76"/>
      <c r="S70" s="77"/>
      <c r="T70" s="77"/>
      <c r="U70" s="78"/>
      <c r="V70" s="78"/>
      <c r="W70" s="78"/>
      <c r="X70" s="79"/>
      <c r="Y70" s="76"/>
      <c r="Z70" s="75"/>
      <c r="AA70" s="75"/>
      <c r="AB70" s="7"/>
      <c r="AC70" s="75"/>
      <c r="AD70" s="75" t="str">
        <f>IF(AND(P70&gt;=3,Z70="Yes",AA70="Yes",O70&lt;&gt;"",L70&lt;&gt;""),"Include","Exclude")</f>
        <v>Exclude</v>
      </c>
      <c r="AE70" s="78" t="str">
        <f>IF(A70="","",IF(OR(ListingsTable[[#This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0" s="80"/>
      <c r="AG70" s="80"/>
      <c r="AH70" s="71"/>
      <c r="AI70" s="73"/>
    </row>
    <row r="71" spans="1:35" s="24" customFormat="1">
      <c r="A71" s="72"/>
      <c r="B71" s="73"/>
      <c r="C71" s="73"/>
      <c r="D71" s="6"/>
      <c r="E71" s="74"/>
      <c r="F71" s="75"/>
      <c r="G71" s="75"/>
      <c r="H71" s="75"/>
      <c r="I71" s="73"/>
      <c r="J71" s="75"/>
      <c r="K71" s="75"/>
      <c r="L71" s="75"/>
      <c r="M71" s="76"/>
      <c r="N71" s="76"/>
      <c r="O71" s="76"/>
      <c r="P71" s="76"/>
      <c r="Q71" s="76"/>
      <c r="R71" s="76"/>
      <c r="S71" s="77"/>
      <c r="T71" s="77"/>
      <c r="U71" s="78"/>
      <c r="V71" s="78"/>
      <c r="W71" s="78"/>
      <c r="X71" s="79"/>
      <c r="Y71" s="76"/>
      <c r="Z71" s="75"/>
      <c r="AA71" s="75"/>
      <c r="AB71" s="7"/>
      <c r="AC71" s="75"/>
      <c r="AD71" s="75" t="str">
        <f>IF(AND(P71&gt;=3,Z71="Yes",AA71="Yes",O71&lt;&gt;"",L71&lt;&gt;""),"Include","Exclude")</f>
        <v>Exclude</v>
      </c>
      <c r="AE71" s="78" t="str">
        <f>IF(A71="","",IF(OR(ListingsTable[[#This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1" s="80"/>
      <c r="AG71" s="80"/>
      <c r="AH71" s="71"/>
      <c r="AI71" s="73"/>
    </row>
    <row r="72" spans="1:35" s="24" customFormat="1">
      <c r="A72" s="72"/>
      <c r="B72" s="73"/>
      <c r="C72" s="73"/>
      <c r="D72" s="6"/>
      <c r="E72" s="74"/>
      <c r="F72" s="75"/>
      <c r="G72" s="75"/>
      <c r="H72" s="75"/>
      <c r="I72" s="73"/>
      <c r="J72" s="75"/>
      <c r="K72" s="75"/>
      <c r="L72" s="75"/>
      <c r="M72" s="76"/>
      <c r="N72" s="76"/>
      <c r="O72" s="76"/>
      <c r="P72" s="76"/>
      <c r="Q72" s="76"/>
      <c r="R72" s="76"/>
      <c r="S72" s="77"/>
      <c r="T72" s="77"/>
      <c r="U72" s="78"/>
      <c r="V72" s="78"/>
      <c r="W72" s="78"/>
      <c r="X72" s="79"/>
      <c r="Y72" s="76"/>
      <c r="Z72" s="75"/>
      <c r="AA72" s="75"/>
      <c r="AB72" s="7"/>
      <c r="AC72" s="75"/>
      <c r="AD72" s="75" t="str">
        <f>IF(AND(P72&gt;=3,Z72="Yes",AA72="Yes",O72&lt;&gt;"",L72&lt;&gt;""),"Include","Exclude")</f>
        <v>Exclude</v>
      </c>
      <c r="AE72" s="78" t="str">
        <f>IF(A72="","",IF(OR(ListingsTable[[#This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2" s="80"/>
      <c r="AG72" s="80"/>
      <c r="AH72" s="71"/>
      <c r="AI72" s="73"/>
    </row>
    <row r="73" spans="1:35" s="24" customFormat="1" ht="22">
      <c r="A73" s="72"/>
      <c r="B73" s="73"/>
      <c r="C73" s="73"/>
      <c r="D73" s="6"/>
      <c r="E73" s="74"/>
      <c r="F73" s="75"/>
      <c r="G73" s="75"/>
      <c r="H73" s="75"/>
      <c r="I73" s="73"/>
      <c r="J73" s="75"/>
      <c r="K73" s="75"/>
      <c r="L73" s="75"/>
      <c r="M73" s="76"/>
      <c r="N73" s="76"/>
      <c r="O73" s="76"/>
      <c r="P73" s="76"/>
      <c r="Q73" s="76"/>
      <c r="R73" s="76"/>
      <c r="S73" s="77"/>
      <c r="T73" s="77"/>
      <c r="U73" s="78"/>
      <c r="V73" s="78"/>
      <c r="W73" s="78"/>
      <c r="X73" s="79"/>
      <c r="Y73" s="76"/>
      <c r="Z73" s="75"/>
      <c r="AA73" s="75"/>
      <c r="AB73" s="7"/>
      <c r="AC73" s="75"/>
      <c r="AD73" s="75" t="str">
        <f>IF(AND(P73&gt;=3,Z73="Yes",AA73="Yes",O73&lt;&gt;"",L73&lt;&gt;""),"Include","Exclude")</f>
        <v>Exclude</v>
      </c>
      <c r="AE73" s="78" t="str">
        <f>IF(A73="","",IF(OR(ListingsTable[[#This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3" s="80"/>
      <c r="AG73" s="80"/>
      <c r="AH73" s="71"/>
      <c r="AI73" s="73"/>
    </row>
    <row r="74" spans="1:35" s="24" customFormat="1" ht="22">
      <c r="A74" s="72"/>
      <c r="B74" s="73"/>
      <c r="C74" s="73"/>
      <c r="D74" s="6"/>
      <c r="E74" s="74"/>
      <c r="F74" s="75"/>
      <c r="G74" s="75"/>
      <c r="H74" s="75"/>
      <c r="I74" s="73"/>
      <c r="J74" s="75"/>
      <c r="K74" s="75"/>
      <c r="L74" s="75"/>
      <c r="M74" s="76"/>
      <c r="N74" s="76"/>
      <c r="O74" s="76"/>
      <c r="P74" s="76"/>
      <c r="Q74" s="76"/>
      <c r="R74" s="76"/>
      <c r="S74" s="77"/>
      <c r="T74" s="77"/>
      <c r="U74" s="78"/>
      <c r="V74" s="78"/>
      <c r="W74" s="78"/>
      <c r="X74" s="79"/>
      <c r="Y74" s="76"/>
      <c r="Z74" s="75"/>
      <c r="AA74" s="75"/>
      <c r="AB74" s="7"/>
      <c r="AC74" s="75"/>
      <c r="AD74" s="75" t="str">
        <f>IF(AND(P74&gt;=3,Z74="Yes",AA74="Yes",O74&lt;&gt;"",L74&lt;&gt;""),"Include","Exclude")</f>
        <v>Exclude</v>
      </c>
      <c r="AE74" s="78" t="str">
        <f>IF(A74="","",IF(OR(ListingsTable[[#This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4" s="80"/>
      <c r="AG74" s="80"/>
      <c r="AH74" s="71"/>
      <c r="AI74" s="73"/>
    </row>
    <row r="75" spans="1:35" s="24" customFormat="1" ht="22">
      <c r="A75" s="72"/>
      <c r="B75" s="73"/>
      <c r="C75" s="73"/>
      <c r="D75" s="6"/>
      <c r="E75" s="74"/>
      <c r="F75" s="75"/>
      <c r="G75" s="75"/>
      <c r="H75" s="75"/>
      <c r="I75" s="73"/>
      <c r="J75" s="75"/>
      <c r="K75" s="75"/>
      <c r="L75" s="75"/>
      <c r="M75" s="76"/>
      <c r="N75" s="76"/>
      <c r="O75" s="76"/>
      <c r="P75" s="76"/>
      <c r="Q75" s="76"/>
      <c r="R75" s="76"/>
      <c r="S75" s="77"/>
      <c r="T75" s="77"/>
      <c r="U75" s="78"/>
      <c r="V75" s="78"/>
      <c r="W75" s="78"/>
      <c r="X75" s="79"/>
      <c r="Y75" s="76"/>
      <c r="Z75" s="75"/>
      <c r="AA75" s="75"/>
      <c r="AB75" s="7"/>
      <c r="AC75" s="75"/>
      <c r="AD75" s="75" t="str">
        <f>IF(AND(P75&gt;=3,Z75="Yes",AA75="Yes",O75&lt;&gt;"",L75&lt;&gt;""),"Include","Exclude")</f>
        <v>Exclude</v>
      </c>
      <c r="AE75" s="78" t="str">
        <f>IF(A75="","",IF(OR(ListingsTable[[#This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5" s="80"/>
      <c r="AG75" s="80"/>
      <c r="AH75" s="71"/>
      <c r="AI75" s="73"/>
    </row>
    <row r="76" spans="1:35" s="24" customFormat="1" ht="22">
      <c r="A76" s="72"/>
      <c r="B76" s="73"/>
      <c r="C76" s="73"/>
      <c r="D76" s="6"/>
      <c r="E76" s="74"/>
      <c r="F76" s="75"/>
      <c r="G76" s="75"/>
      <c r="H76" s="75"/>
      <c r="I76" s="73"/>
      <c r="J76" s="75"/>
      <c r="K76" s="75"/>
      <c r="L76" s="75"/>
      <c r="M76" s="76"/>
      <c r="N76" s="76"/>
      <c r="O76" s="76"/>
      <c r="P76" s="76"/>
      <c r="Q76" s="76"/>
      <c r="R76" s="76"/>
      <c r="S76" s="77"/>
      <c r="T76" s="77"/>
      <c r="U76" s="78"/>
      <c r="V76" s="78"/>
      <c r="W76" s="78"/>
      <c r="X76" s="79"/>
      <c r="Y76" s="76"/>
      <c r="Z76" s="75"/>
      <c r="AA76" s="75"/>
      <c r="AB76" s="7"/>
      <c r="AC76" s="75"/>
      <c r="AD76" s="75" t="str">
        <f>IF(AND(P76&gt;=3,Z76="Yes",AA76="Yes",O76&lt;&gt;"",L76&lt;&gt;""),"Include","Exclude")</f>
        <v>Exclude</v>
      </c>
      <c r="AE76" s="78" t="str">
        <f>IF(A76="","",IF(OR(ListingsTable[[#This Row],[rating]]="",ListingsTable[[#This Row],[review_count]]=""),1.03,IF(ListingsTable[[#This Row],[review_count]]&lt;10,1,IF(ListingsTable[[#This Row],[rating]]&gt;=4.5,0.95,IF(ListingsTable[[#This Row],[rating]]&gt;=4,1,IF(ListingsTable[[#This Row],[rating]]&lt;3.8,1.05,1))))))</f>
        <v/>
      </c>
      <c r="AF76" s="80"/>
      <c r="AG76" s="80"/>
      <c r="AH76" s="71"/>
      <c r="AI76" s="73"/>
    </row>
  </sheetData>
  <conditionalFormatting sqref="AD2:AD76">
    <cfRule type="expression" dxfId="3" priority="1">
      <formula>$AD2="Include"</formula>
    </cfRule>
    <cfRule type="expression" dxfId="2" priority="2">
      <formula>$AD2="Exclude"</formula>
    </cfRule>
  </conditionalFormatting>
  <conditionalFormatting sqref="AI2:AI76">
    <cfRule type="expression" dxfId="1" priority="4">
      <formula>$AI2="Include"</formula>
    </cfRule>
    <cfRule type="expression" dxfId="0" priority="5">
      <formula>$AI2="Exclude"</formula>
    </cfRule>
  </conditionalFormatting>
  <conditionalFormatting sqref="AF2:AF76">
    <cfRule type="colorScale" priority="123">
      <colorScale>
        <cfvo type="min"/>
        <cfvo type="percentile" val="50"/>
        <cfvo type="max"/>
        <color rgb="FFDCFCE7"/>
        <color rgb="FFFEF3C7"/>
        <color rgb="FFFF999B"/>
      </colorScale>
    </cfRule>
  </conditionalFormatting>
  <conditionalFormatting sqref="AG2:AH76">
    <cfRule type="colorScale" priority="124">
      <colorScale>
        <cfvo type="min"/>
        <cfvo type="percentile" val="50"/>
        <cfvo type="max"/>
        <color rgb="FFFBCEE5"/>
        <color rgb="FFF979A7"/>
        <color rgb="FFBE185D"/>
      </colorScale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Lookups!$A$2:$A$4</xm:f>
          </x14:formula1>
          <xm:sqref>I2:I76</xm:sqref>
        </x14:dataValidation>
        <x14:dataValidation type="list" xr:uid="{00000000-0002-0000-0100-000001000000}">
          <x14:formula1>
            <xm:f>Lookups!$B$2:$B$3</xm:f>
          </x14:formula1>
          <xm:sqref>Z2:AA76</xm:sqref>
        </x14:dataValidation>
        <x14:dataValidation type="list" xr:uid="{00000000-0002-0000-0100-000002000000}">
          <x14:formula1>
            <xm:f>Lookups!$C$2:$C$4</xm:f>
          </x14:formula1>
          <xm:sqref>AC2:AC76</xm:sqref>
        </x14:dataValidation>
        <x14:dataValidation type="list" xr:uid="{212AE624-A113-F743-8B07-83AB58EA5800}">
          <x14:formula1>
            <xm:f>Lookups!$F$2:$F$4</xm:f>
          </x14:formula1>
          <xm:sqref>AB2:AB76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4872-1F2F-9041-A359-6793AABE1A0A}">
  <dimension ref="A1:E11"/>
  <sheetViews>
    <sheetView workbookViewId="0">
      <selection activeCell="B16" sqref="B16"/>
    </sheetView>
  </sheetViews>
  <sheetFormatPr baseColWidth="10" defaultRowHeight="21"/>
  <cols>
    <col min="1" max="1" width="22.1640625" style="82" bestFit="1" customWidth="1"/>
    <col min="2" max="2" width="19.5" style="82" customWidth="1"/>
    <col min="3" max="3" width="14.83203125" style="82" customWidth="1"/>
    <col min="4" max="4" width="19.1640625" style="82" customWidth="1"/>
    <col min="5" max="5" width="71" style="82" bestFit="1" customWidth="1"/>
    <col min="6" max="16384" width="10.83203125" style="82"/>
  </cols>
  <sheetData>
    <row r="1" spans="1:5" ht="44" customHeight="1">
      <c r="A1" s="83" t="s">
        <v>234</v>
      </c>
      <c r="B1" s="83" t="s">
        <v>235</v>
      </c>
      <c r="C1" s="83" t="s">
        <v>236</v>
      </c>
      <c r="D1" s="83" t="s">
        <v>237</v>
      </c>
      <c r="E1" s="83" t="s">
        <v>238</v>
      </c>
    </row>
    <row r="2" spans="1:5" ht="44" customHeight="1">
      <c r="A2" s="84" t="s">
        <v>112</v>
      </c>
      <c r="B2" s="84">
        <f>COUNTIF(Listings!B:B,A2)</f>
        <v>2</v>
      </c>
      <c r="C2" s="84">
        <f>IFERROR(_xlfn.MINIFS(Listings!AF:AF,Listings!B:B,A2,Listings!AD:AD,"Include"),"")</f>
        <v>0.13384635416666665</v>
      </c>
      <c r="D2" s="84">
        <f>IFERROR(AVERAGEIFS(Listings!AF:AF,Listings!B:B,A2,Listings!AD:AD,"Include"),"")</f>
        <v>0.17385720486111111</v>
      </c>
      <c r="E2" s="84" t="str" cm="1">
        <f t="array" ref="E2">IFERROR(INDEX(Listings!C:C,MATCH(1,(Listings!B:B=A2)*(Listings!AF:AF=C2),0)),"")</f>
        <v>Saxon Premium Toilet Paper</v>
      </c>
    </row>
    <row r="3" spans="1:5" ht="44" customHeight="1">
      <c r="A3" s="84" t="s">
        <v>60</v>
      </c>
      <c r="B3" s="84">
        <f>COUNTIF(Listings!B:B,A3)</f>
        <v>35</v>
      </c>
      <c r="C3" s="84">
        <f>IFERROR(_xlfn.MINIFS(Listings!AF:AF,Listings!B:B,A3,Listings!AD:AD,"Include"),"")</f>
        <v>0.1432258064516129</v>
      </c>
      <c r="D3" s="84">
        <f>IFERROR(AVERAGEIFS(Listings!AF:AF,Listings!B:B,A3,Listings!AD:AD,"Include"),"")</f>
        <v>0.30033582027962985</v>
      </c>
      <c r="E3" s="84" t="str" cm="1">
        <f t="array" ref="E3">IFERROR(INDEX(Listings!C:C,MATCH(1,(Listings!B:B=A3)*(Listings!AF:AF=C3),0)),"")</f>
        <v>Lusheen Soft Quilted Toilet Rolls Bulk Buy</v>
      </c>
    </row>
    <row r="4" spans="1:5" ht="44" customHeight="1">
      <c r="A4" s="84" t="s">
        <v>64</v>
      </c>
      <c r="B4" s="84">
        <f>COUNTIF(Listings!B:B,A4)</f>
        <v>1</v>
      </c>
      <c r="C4" s="84">
        <f>IFERROR(_xlfn.MINIFS(Listings!AF:AF,Listings!B:B,A4,Listings!AD:AD,"Include"),"")</f>
        <v>0.33042019774011294</v>
      </c>
      <c r="D4" s="84">
        <f>IFERROR(AVERAGEIFS(Listings!AF:AF,Listings!B:B,A4,Listings!AD:AD,"Include"),"")</f>
        <v>0.33042019774011294</v>
      </c>
      <c r="E4" s="84" t="str" cm="1">
        <f t="array" ref="E4">IFERROR(INDEX(Listings!C:C,MATCH(1,(Listings!B:B=A4)*(Listings!AF:AF=C4),0)),"")</f>
        <v>Cushelle Quilted Toilet Roll</v>
      </c>
    </row>
    <row r="5" spans="1:5" ht="44" customHeight="1">
      <c r="A5" s="84" t="s">
        <v>148</v>
      </c>
      <c r="B5" s="84">
        <f>COUNTIF(Listings!B:B,A5)</f>
        <v>2</v>
      </c>
      <c r="C5" s="84">
        <f>IFERROR(_xlfn.MINIFS(Listings!AF:AF,Listings!B:B,A5,Listings!AD:AD,"Include"),"")</f>
        <v>0.24666354166666665</v>
      </c>
      <c r="D5" s="84">
        <f>IFERROR(AVERAGEIFS(Listings!AF:AF,Listings!B:B,A5,Listings!AD:AD,"Include"),"")</f>
        <v>0.25896935028248591</v>
      </c>
      <c r="E5" s="84" t="str" cm="1">
        <f t="array" ref="E5">IFERROR(INDEX(Listings!C:C,MATCH(1,(Listings!B:B=A5)*(Listings!AF:AF=C5),0)),"")</f>
        <v>Kirkland Signature Triple Satin 3-Ply Toilet Tissue</v>
      </c>
    </row>
    <row r="6" spans="1:5" ht="44" customHeight="1">
      <c r="A6" s="84" t="s">
        <v>123</v>
      </c>
      <c r="B6" s="84">
        <f>COUNTIF(Listings!B:B,A6)</f>
        <v>3</v>
      </c>
      <c r="C6" s="84">
        <f>IFERROR(_xlfn.MINIFS(Listings!AF:AF,Listings!B:B,A6,Listings!AD:AD,"Include"),"")</f>
        <v>0.14468281250000001</v>
      </c>
      <c r="D6" s="84">
        <f>IFERROR(AVERAGEIFS(Listings!AF:AF,Listings!B:B,A6,Listings!AD:AD,"Include"),"")</f>
        <v>0.17191981889978214</v>
      </c>
      <c r="E6" s="84" t="str" cm="1">
        <f t="array" ref="E6">IFERROR(INDEX(Listings!C:C,MATCH(1,(Listings!B:B=A6)*(Listings!AF:AF=C6),0)),"")</f>
        <v>Nicky Elite Quilted 3 Ply Toilet Rolls 64 Pack</v>
      </c>
    </row>
    <row r="7" spans="1:5" ht="44" customHeight="1">
      <c r="A7" s="84" t="s">
        <v>93</v>
      </c>
      <c r="B7" s="84">
        <f>COUNTIF(Listings!B:B,A7)</f>
        <v>1</v>
      </c>
      <c r="C7" s="84">
        <f>IFERROR(_xlfn.MINIFS(Listings!AF:AF,Listings!B:B,A7,Listings!AD:AD,"Include"),"")</f>
        <v>0.17773437500000003</v>
      </c>
      <c r="D7" s="84">
        <f>IFERROR(AVERAGEIFS(Listings!AF:AF,Listings!B:B,A7,Listings!AD:AD,"Include"),"")</f>
        <v>0.17773437500000003</v>
      </c>
      <c r="E7" s="84" t="str" cm="1">
        <f t="array" ref="E7">IFERROR(INDEX(Listings!C:C,MATCH(1,(Listings!B:B=A7)*(Listings!AF:AF=C7),0)),"")</f>
        <v>Elegance Gentle Quilted Toilet Paper</v>
      </c>
    </row>
    <row r="8" spans="1:5" ht="44" customHeight="1">
      <c r="A8" s="84" t="s">
        <v>68</v>
      </c>
      <c r="B8" s="84">
        <f>COUNTIF(Listings!B:B,A8)</f>
        <v>2</v>
      </c>
      <c r="C8" s="84">
        <f>IFERROR(_xlfn.MINIFS(Listings!AF:AF,Listings!B:B,A8,Listings!AD:AD,"Include"),"")</f>
        <v>0.24319444444444444</v>
      </c>
      <c r="D8" s="84">
        <f>IFERROR(AVERAGEIFS(Listings!AF:AF,Listings!B:B,A8,Listings!AD:AD,"Include"),"")</f>
        <v>0.2557118055555555</v>
      </c>
      <c r="E8" s="84" t="str" cm="1">
        <f t="array" ref="E8">IFERROR(INDEX(Listings!C:C,MATCH(1,(Listings!B:B=A8)*(Listings!AF:AF=C8),0)),"")</f>
        <v>Velvet Classic Quilted Toilet Rolls</v>
      </c>
    </row>
    <row r="9" spans="1:5" ht="44" customHeight="1">
      <c r="A9" s="84" t="s">
        <v>66</v>
      </c>
      <c r="B9" s="84">
        <f>COUNTIF(Listings!B:B,A9)</f>
        <v>2</v>
      </c>
      <c r="C9" s="84">
        <f>IFERROR(_xlfn.MINIFS(Listings!AF:AF,Listings!B:B,A9,Listings!AD:AD,"Include"),"")</f>
        <v>0.22875816993464054</v>
      </c>
      <c r="D9" s="84">
        <f>IFERROR(AVERAGEIFS(Listings!AF:AF,Listings!B:B,A9,Listings!AD:AD,"Include"),"")</f>
        <v>0.33661601999556889</v>
      </c>
      <c r="E9" s="84" t="str" cm="1">
        <f t="array" ref="E9">IFERROR(INDEX(Listings!C:C,MATCH(1,(Listings!B:B=A9)*(Listings!AF:AF=C9),0)),"")</f>
        <v>Sainsbury's Super Soft Toilet Tissue, Quilted</v>
      </c>
    </row>
    <row r="10" spans="1:5" ht="44" customHeight="1">
      <c r="A10" s="84" t="s">
        <v>62</v>
      </c>
      <c r="B10" s="84">
        <f>COUNTIF(Listings!B:B,A10)</f>
        <v>4</v>
      </c>
      <c r="C10" s="84">
        <f>IFERROR(_xlfn.MINIFS(Listings!AF:AF,Listings!B:B,A10,Listings!AD:AD,"Include"),"")</f>
        <v>0.1640625</v>
      </c>
      <c r="D10" s="84">
        <f>IFERROR(AVERAGEIFS(Listings!AF:AF,Listings!B:B,A10,Listings!AD:AD,"Include"),"")</f>
        <v>0.29508584104938274</v>
      </c>
      <c r="E10" s="84" t="str" cm="1">
        <f t="array" ref="E10">IFERROR(INDEX(Listings!C:C,MATCH(1,(Listings!B:B=A10)*(Listings!AF:AF=C10),0)),"")</f>
        <v>Little Duck Supreme Quilted Toilet Tissue</v>
      </c>
    </row>
    <row r="11" spans="1:5" ht="44" customHeight="1">
      <c r="A11" s="84" t="s">
        <v>107</v>
      </c>
      <c r="B11" s="84">
        <f>COUNTIF(Listings!B:B,A11)</f>
        <v>3</v>
      </c>
      <c r="C11" s="84">
        <f>IFERROR(_xlfn.MINIFS(Listings!AF:AF,Listings!B:B,A11,Listings!AD:AD,"Include"),"")</f>
        <v>0.21513888888888888</v>
      </c>
      <c r="D11" s="84">
        <f>IFERROR(AVERAGEIFS(Listings!AF:AF,Listings!B:B,A11,Listings!AD:AD,"Include"),"")</f>
        <v>0.2680805555555556</v>
      </c>
      <c r="E11" s="84" t="str" cm="1">
        <f t="array" ref="E11">IFERROR(INDEX(Listings!C:C,MATCH(1,(Listings!B:B=A11)*(Listings!AF:AF=C11),0)),"")</f>
        <v>Freedom Inspirations Quilted Soft White 3 Ply Toilet Paper Roll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307E-92DA-5D42-9C10-ED8BBFA28328}">
  <dimension ref="A1:E56"/>
  <sheetViews>
    <sheetView workbookViewId="0">
      <selection activeCell="E6" sqref="E6"/>
    </sheetView>
  </sheetViews>
  <sheetFormatPr baseColWidth="10" defaultRowHeight="21"/>
  <cols>
    <col min="1" max="1" width="20.83203125" style="82" bestFit="1" customWidth="1"/>
    <col min="2" max="2" width="18.83203125" style="82" customWidth="1"/>
    <col min="3" max="3" width="15.83203125" style="82" bestFit="1" customWidth="1"/>
    <col min="4" max="4" width="19.1640625" style="82" customWidth="1"/>
    <col min="5" max="5" width="76.33203125" style="82" bestFit="1" customWidth="1"/>
    <col min="6" max="16384" width="10.83203125" style="82"/>
  </cols>
  <sheetData>
    <row r="1" spans="1:5" ht="44" customHeight="1">
      <c r="A1" s="83" t="s">
        <v>239</v>
      </c>
      <c r="B1" s="83" t="s">
        <v>240</v>
      </c>
      <c r="C1" s="83" t="s">
        <v>236</v>
      </c>
      <c r="D1" s="83" t="s">
        <v>237</v>
      </c>
      <c r="E1" s="83" t="s">
        <v>238</v>
      </c>
    </row>
    <row r="2" spans="1:5" ht="44" customHeight="1">
      <c r="A2" s="85" t="s">
        <v>128</v>
      </c>
      <c r="B2" s="82">
        <f>COUNTIF(Listings!D:D,A2)</f>
        <v>2</v>
      </c>
      <c r="C2" s="82">
        <f>IFERROR(_xlfn.MINIFS(Listings!AF:AF,Listings!D:D,A2,Listings!AD:AD,"Include"),"")</f>
        <v>0.13384635416666665</v>
      </c>
      <c r="D2" s="82">
        <f>IFERROR(AVERAGEIFS(Listings!AF:AF,Listings!D:D,A2,Listings!AD:AD,"Include"),"")</f>
        <v>0.17385720486111111</v>
      </c>
      <c r="E2" s="82" t="str" cm="1">
        <f t="array" ref="E2">IFERROR(INDEX(Listings!C:C,MATCH(1,(Listings!D:D=A2)*(Listings!AF:AF=C2),0)),"")</f>
        <v>Saxon Premium Toilet Paper</v>
      </c>
    </row>
    <row r="3" spans="1:5" ht="44" customHeight="1">
      <c r="A3" s="87" t="s">
        <v>208</v>
      </c>
      <c r="B3" s="82">
        <f>COUNTIF(Listings!D:D,A3)</f>
        <v>4</v>
      </c>
      <c r="C3" s="82">
        <f>IFERROR(_xlfn.MINIFS(Listings!AF:AF,Listings!D:D,A3,Listings!AD:AD,"Include"),"")</f>
        <v>0.19770233196159123</v>
      </c>
      <c r="D3" s="82">
        <f>IFERROR(AVERAGEIFS(Listings!AF:AF,Listings!D:D,A3,Listings!AD:AD,"Include"),"")</f>
        <v>0.21932331026312507</v>
      </c>
      <c r="E3" s="82" t="str" cm="1">
        <f t="array" ref="E3">IFERROR(INDEX(Listings!C:C,MATCH(1,(Listings!D:D=A3)*(Listings!AF:AF=C3),0)),"")</f>
        <v>AmazonCommercial Toilet Roll</v>
      </c>
    </row>
    <row r="4" spans="1:5" ht="44" customHeight="1">
      <c r="A4" s="85" t="s">
        <v>137</v>
      </c>
      <c r="B4" s="82">
        <f>COUNTIF(Listings!D:D,A4)</f>
        <v>1</v>
      </c>
      <c r="C4" s="82">
        <f>IFERROR(_xlfn.MINIFS(Listings!AF:AF,Listings!D:D,A4,Listings!AD:AD,"Include"),"")</f>
        <v>0.29368279569892475</v>
      </c>
      <c r="D4" s="82">
        <f>IFERROR(AVERAGEIFS(Listings!AF:AF,Listings!D:D,A4,Listings!AD:AD,"Include"),"")</f>
        <v>0.29368279569892475</v>
      </c>
      <c r="E4" s="82" t="str" cm="1">
        <f t="array" ref="E4">IFERROR(INDEX(Listings!C:C,MATCH(1,(Listings!D:D=A4)*(Listings!AF:AF=C4),0)),"")</f>
        <v>Andrex Ultimate Quilts Toilet Tissue</v>
      </c>
    </row>
    <row r="5" spans="1:5" ht="44" customHeight="1">
      <c r="A5" s="86" t="s">
        <v>205</v>
      </c>
      <c r="B5" s="82">
        <f>COUNTIF(Listings!D:D,A5)</f>
        <v>1</v>
      </c>
      <c r="C5" s="82">
        <f>IFERROR(_xlfn.MINIFS(Listings!AF:AF,Listings!D:D,A5,Listings!AD:AD,"Include"),"")</f>
        <v>0.41625000000000006</v>
      </c>
      <c r="D5" s="82">
        <f>IFERROR(AVERAGEIFS(Listings!AF:AF,Listings!D:D,A5,Listings!AD:AD,"Include"),"")</f>
        <v>0.41625000000000006</v>
      </c>
      <c r="E5" s="82" t="str" cm="1">
        <f t="array" ref="E5">IFERROR(INDEX(Listings!C:C,MATCH(1,(Listings!D:D=A5)*(Listings!AF:AF=C5),0)),"")</f>
        <v>Blake &amp; White Purely Smile 3 Ply Soft Toilet Rolls</v>
      </c>
    </row>
    <row r="6" spans="1:5" ht="44" customHeight="1">
      <c r="A6" s="85" t="s">
        <v>139</v>
      </c>
      <c r="B6" s="82">
        <f>COUNTIF(Listings!D:D,A6)</f>
        <v>1</v>
      </c>
      <c r="C6" s="82">
        <f>IFERROR(_xlfn.MINIFS(Listings!AF:AF,Listings!D:D,A6,Listings!AD:AD,"Include"),"")</f>
        <v>0.34409629629629629</v>
      </c>
      <c r="D6" s="82">
        <f>IFERROR(AVERAGEIFS(Listings!AF:AF,Listings!D:D,A6,Listings!AD:AD,"Include"),"")</f>
        <v>0.34409629629629629</v>
      </c>
      <c r="E6" s="82" t="str" cm="1">
        <f t="array" ref="E6">IFERROR(INDEX(Listings!C:C,MATCH(1,(Listings!D:D=A6)*(Listings!AF:AF=C6),0)),"")</f>
        <v>Bliss Quilted Toilet Tissue Rolls</v>
      </c>
    </row>
    <row r="7" spans="1:5" ht="44" customHeight="1">
      <c r="A7" s="86" t="s">
        <v>191</v>
      </c>
      <c r="B7" s="82">
        <f>COUNTIF(Listings!D:D,A7)</f>
        <v>3</v>
      </c>
      <c r="C7" s="82">
        <f>IFERROR(_xlfn.MINIFS(Listings!AF:AF,Listings!D:D,A7,Listings!AD:AD,"Include"),"")</f>
        <v>0.24298611111111112</v>
      </c>
      <c r="D7" s="82">
        <f>IFERROR(AVERAGEIFS(Listings!AF:AF,Listings!D:D,A7,Listings!AD:AD,"Include"),"")</f>
        <v>0.28446759259259263</v>
      </c>
      <c r="E7" s="82" t="str" cm="1">
        <f t="array" ref="E7">IFERROR(INDEX(Listings!C:C,MATCH(1,(Listings!D:D=A7)*(Listings!AF:AF=C7),0)),"")</f>
        <v>Bumboo Essentials Toilet Roll 48 Pack</v>
      </c>
    </row>
    <row r="8" spans="1:5" ht="44" customHeight="1">
      <c r="A8" s="86" t="s">
        <v>193</v>
      </c>
      <c r="B8" s="82">
        <f>COUNTIF(Listings!D:D,A8)</f>
        <v>1</v>
      </c>
      <c r="C8" s="82">
        <f>IFERROR(_xlfn.MINIFS(Listings!AF:AF,Listings!D:D,A8,Listings!AD:AD,"Include"),"")</f>
        <v>0.263625</v>
      </c>
      <c r="D8" s="82">
        <f>IFERROR(AVERAGEIFS(Listings!AF:AF,Listings!D:D,A8,Listings!AD:AD,"Include"),"")</f>
        <v>0.263625</v>
      </c>
      <c r="E8" s="82" t="str" cm="1">
        <f t="array" ref="E8">IFERROR(INDEX(Listings!C:C,MATCH(1,(Listings!D:D=A8)*(Listings!AF:AF=C8),0)),"")</f>
        <v>careBee Bamboo Toilet Rolls</v>
      </c>
    </row>
    <row r="9" spans="1:5" ht="44" customHeight="1">
      <c r="A9" s="87" t="s">
        <v>138</v>
      </c>
      <c r="B9" s="82">
        <f>COUNTIF(Listings!D:D,A9)</f>
        <v>3</v>
      </c>
      <c r="C9" s="82">
        <f>IFERROR(_xlfn.MINIFS(Listings!AF:AF,Listings!D:D,A9,Listings!AD:AD,"Include"),"")</f>
        <v>0.27127515889830511</v>
      </c>
      <c r="D9" s="82">
        <f>IFERROR(AVERAGEIFS(Listings!AF:AF,Listings!D:D,A9,Listings!AD:AD,"Include"),"")</f>
        <v>0.34872307556497173</v>
      </c>
      <c r="E9" s="82" t="str" cm="1">
        <f t="array" ref="E9">IFERROR(INDEX(Listings!C:C,MATCH(1,(Listings!D:D=A9)*(Listings!AF:AF=C9),0)),"")</f>
        <v>Cushelle Quilted 3-Ply Longer Rolls Toilet Tissue</v>
      </c>
    </row>
    <row r="10" spans="1:5" ht="44" customHeight="1">
      <c r="A10" s="85" t="s">
        <v>164</v>
      </c>
      <c r="B10" s="82">
        <f>COUNTIF(Listings!D:D,A10)</f>
        <v>1</v>
      </c>
      <c r="C10" s="82">
        <f>IFERROR(_xlfn.MINIFS(Listings!AF:AF,Listings!D:D,A10,Listings!AD:AD,"Include"),"")</f>
        <v>0.19068462401795733</v>
      </c>
      <c r="D10" s="82">
        <f>IFERROR(AVERAGEIFS(Listings!AF:AF,Listings!D:D,A10,Listings!AD:AD,"Include"),"")</f>
        <v>0.19068462401795733</v>
      </c>
      <c r="E10" s="82" t="str" cm="1">
        <f t="array" ref="E10">IFERROR(INDEX(Listings!C:C,MATCH(1,(Listings!D:D=A10)*(Listings!AF:AF=C10),0)),"")</f>
        <v>DHANZIPAK Premium Quilted Toilet Paper</v>
      </c>
    </row>
    <row r="11" spans="1:5" ht="44" customHeight="1">
      <c r="A11" s="87" t="s">
        <v>131</v>
      </c>
      <c r="B11" s="82">
        <f>COUNTIF(Listings!D:D,A11)</f>
        <v>2</v>
      </c>
      <c r="C11" s="82">
        <f>IFERROR(_xlfn.MINIFS(Listings!AF:AF,Listings!D:D,A11,Listings!AD:AD,"Include"),"")</f>
        <v>0.17773437500000003</v>
      </c>
      <c r="D11" s="82">
        <f>IFERROR(AVERAGEIFS(Listings!AF:AF,Listings!D:D,A11,Listings!AD:AD,"Include"),"")</f>
        <v>0.20590422453703705</v>
      </c>
      <c r="E11" s="82" t="str" cm="1">
        <f t="array" ref="E11">IFERROR(INDEX(Listings!C:C,MATCH(1,(Listings!D:D=A11)*(Listings!AF:AF=C11),0)),"")</f>
        <v>Elegance Gentle Quilted Toilet Paper</v>
      </c>
    </row>
    <row r="12" spans="1:5" ht="44" customHeight="1">
      <c r="A12" s="86" t="s">
        <v>224</v>
      </c>
      <c r="B12" s="82">
        <f>COUNTIF(Listings!D:D,A12)</f>
        <v>1</v>
      </c>
      <c r="C12" s="82">
        <f>IFERROR(_xlfn.MINIFS(Listings!AF:AF,Listings!D:D,A12,Listings!AD:AD,"Include"),"")</f>
        <v>0.18127450980392157</v>
      </c>
      <c r="D12" s="82">
        <f>IFERROR(AVERAGEIFS(Listings!AF:AF,Listings!D:D,A12,Listings!AD:AD,"Include"),"")</f>
        <v>0.18127450980392157</v>
      </c>
      <c r="E12" s="82" t="str" cm="1">
        <f t="array" ref="E12">IFERROR(INDEX(Listings!C:C,MATCH(1,(Listings!D:D=A12)*(Listings!AF:AF=C12),0)),"")</f>
        <v>Eloquence Super Soft Luxuriously Quilted Toilet Tissue Rolls</v>
      </c>
    </row>
    <row r="13" spans="1:5" ht="44" customHeight="1">
      <c r="A13" s="86" t="s">
        <v>179</v>
      </c>
      <c r="B13" s="82">
        <f>COUNTIF(Listings!D:D,A13)</f>
        <v>1</v>
      </c>
      <c r="C13" s="82">
        <f>IFERROR(_xlfn.MINIFS(Listings!AF:AF,Listings!D:D,A13,Listings!AD:AD,"Include"),"")</f>
        <v>0.21782051282051279</v>
      </c>
      <c r="D13" s="82">
        <f>IFERROR(AVERAGEIFS(Listings!AF:AF,Listings!D:D,A13,Listings!AD:AD,"Include"),"")</f>
        <v>0.21782051282051279</v>
      </c>
      <c r="E13" s="82" t="str" cm="1">
        <f t="array" ref="E13">IFERROR(INDEX(Listings!C:C,MATCH(1,(Listings!D:D=A13)*(Listings!AF:AF=C13),0)),"")</f>
        <v>evoXL Luxury 3-Ply Toilet Tissue</v>
      </c>
    </row>
    <row r="14" spans="1:5" ht="44" customHeight="1">
      <c r="A14" s="86" t="s">
        <v>140</v>
      </c>
      <c r="B14" s="82">
        <f>COUNTIF(Listings!D:D,A14)</f>
        <v>1</v>
      </c>
      <c r="C14" s="82">
        <f>IFERROR(_xlfn.MINIFS(Listings!AF:AF,Listings!D:D,A14,Listings!AD:AD,"Include"),"")</f>
        <v>0.37777777777777777</v>
      </c>
      <c r="D14" s="82">
        <f>IFERROR(AVERAGEIFS(Listings!AF:AF,Listings!D:D,A14,Listings!AD:AD,"Include"),"")</f>
        <v>0.37777777777777777</v>
      </c>
      <c r="E14" s="82" t="str" cm="1">
        <f t="array" ref="E14">IFERROR(INDEX(Listings!C:C,MATCH(1,(Listings!D:D=A14)*(Listings!AF:AF=C14),0)),"")</f>
        <v>Foxy Silk 3ply Toilet Tissue</v>
      </c>
    </row>
    <row r="15" spans="1:5" ht="44" customHeight="1">
      <c r="A15" s="87" t="s">
        <v>132</v>
      </c>
      <c r="B15" s="82">
        <f>COUNTIF(Listings!D:D,A15)</f>
        <v>1</v>
      </c>
      <c r="C15" s="82">
        <f>IFERROR(_xlfn.MINIFS(Listings!AF:AF,Listings!D:D,A15,Listings!AD:AD,"Include"),"")</f>
        <v>0.21513888888888888</v>
      </c>
      <c r="D15" s="82">
        <f>IFERROR(AVERAGEIFS(Listings!AF:AF,Listings!D:D,A15,Listings!AD:AD,"Include"),"")</f>
        <v>0.21513888888888888</v>
      </c>
      <c r="E15" s="82" t="str" cm="1">
        <f t="array" ref="E15">IFERROR(INDEX(Listings!C:C,MATCH(1,(Listings!D:D=A15)*(Listings!AF:AF=C15),0)),"")</f>
        <v>Freedom Inspirations Quilted Soft White 3 Ply Toilet Paper Roll</v>
      </c>
    </row>
    <row r="16" spans="1:5" ht="44" customHeight="1">
      <c r="A16" s="86" t="s">
        <v>219</v>
      </c>
      <c r="B16" s="82">
        <f>COUNTIF(Listings!D:D,A16)</f>
        <v>1</v>
      </c>
      <c r="C16" s="82">
        <f>IFERROR(_xlfn.MINIFS(Listings!AF:AF,Listings!D:D,A16,Listings!AD:AD,"Include"),"")</f>
        <v>0.19290123456790123</v>
      </c>
      <c r="D16" s="82">
        <f>IFERROR(AVERAGEIFS(Listings!AF:AF,Listings!D:D,A16,Listings!AD:AD,"Include"),"")</f>
        <v>0.19290123456790123</v>
      </c>
      <c r="E16" s="82" t="str" cm="1">
        <f t="array" ref="E16">IFERROR(INDEX(Listings!C:C,MATCH(1,(Listings!D:D=A16)*(Listings!AF:AF=C16),0)),"")</f>
        <v xml:space="preserve">Gentille Quilted Bathroom Tissue Rolls </v>
      </c>
    </row>
    <row r="17" spans="1:5" ht="44" customHeight="1">
      <c r="A17" s="87" t="s">
        <v>232</v>
      </c>
      <c r="B17" s="82">
        <f>COUNTIF(Listings!D:D,A17)</f>
        <v>1</v>
      </c>
      <c r="C17" s="82">
        <f>IFERROR(_xlfn.MINIFS(Listings!AF:AF,Listings!D:D,A17,Listings!AD:AD,"Include"),"")</f>
        <v>0.40172413793103445</v>
      </c>
      <c r="D17" s="82">
        <f>IFERROR(AVERAGEIFS(Listings!AF:AF,Listings!D:D,A17,Listings!AD:AD,"Include"),"")</f>
        <v>0.40172413793103445</v>
      </c>
      <c r="E17" s="82" t="str" cm="1">
        <f t="array" ref="E17">IFERROR(INDEX(Listings!C:C,MATCH(1,(Listings!D:D=A17)*(Listings!AF:AF=C17),0)),"")</f>
        <v>Karrma 3 Ply Quilted Toilet Tissues Rolls</v>
      </c>
    </row>
    <row r="18" spans="1:5" ht="44" customHeight="1">
      <c r="A18" s="85" t="s">
        <v>150</v>
      </c>
      <c r="B18" s="82">
        <f>COUNTIF(Listings!D:D,A18)</f>
        <v>1</v>
      </c>
      <c r="C18" s="82">
        <f>IFERROR(_xlfn.MINIFS(Listings!AF:AF,Listings!D:D,A18,Listings!AD:AD,"Include"),"")</f>
        <v>0.24666354166666665</v>
      </c>
      <c r="D18" s="82">
        <f>IFERROR(AVERAGEIFS(Listings!AF:AF,Listings!D:D,A18,Listings!AD:AD,"Include"),"")</f>
        <v>0.24666354166666665</v>
      </c>
      <c r="E18" s="82" t="str" cm="1">
        <f t="array" ref="E18">IFERROR(INDEX(Listings!C:C,MATCH(1,(Listings!D:D=A18)*(Listings!AF:AF=C18),0)),"")</f>
        <v>Kirkland Signature Triple Satin 3-Ply Toilet Tissue</v>
      </c>
    </row>
    <row r="19" spans="1:5" ht="44" customHeight="1">
      <c r="A19" s="86" t="s">
        <v>227</v>
      </c>
      <c r="B19" s="82">
        <f>COUNTIF(Listings!D:D,A19)</f>
        <v>1</v>
      </c>
      <c r="C19" s="82">
        <f>IFERROR(_xlfn.MINIFS(Listings!AF:AF,Listings!D:D,A19,Listings!AD:AD,"Include"),"")</f>
        <v>0.84218750000000009</v>
      </c>
      <c r="D19" s="82">
        <f>IFERROR(AVERAGEIFS(Listings!AF:AF,Listings!D:D,A19,Listings!AD:AD,"Include"),"")</f>
        <v>0.84218750000000009</v>
      </c>
      <c r="E19" s="82" t="str" cm="1">
        <f t="array" ref="E19">IFERROR(INDEX(Listings!C:C,MATCH(1,(Listings!D:D=A19)*(Listings!AF:AF=C19),0)),"")</f>
        <v>Kleenex Toilet Roll</v>
      </c>
    </row>
    <row r="20" spans="1:5" ht="44" customHeight="1">
      <c r="A20" s="86" t="s">
        <v>130</v>
      </c>
      <c r="B20" s="82">
        <f>COUNTIF(Listings!D:D,A20)</f>
        <v>1</v>
      </c>
      <c r="C20" s="82">
        <f>IFERROR(_xlfn.MINIFS(Listings!AF:AF,Listings!D:D,A20,Listings!AD:AD,"Include"),"")</f>
        <v>0.1640625</v>
      </c>
      <c r="D20" s="82">
        <f>IFERROR(AVERAGEIFS(Listings!AF:AF,Listings!D:D,A20,Listings!AD:AD,"Include"),"")</f>
        <v>0.1640625</v>
      </c>
      <c r="E20" s="82" t="str" cm="1">
        <f t="array" ref="E20">IFERROR(INDEX(Listings!C:C,MATCH(1,(Listings!D:D=A20)*(Listings!AF:AF=C20),0)),"")</f>
        <v>Little Duck Supreme Quilted Toilet Tissue</v>
      </c>
    </row>
    <row r="21" spans="1:5" ht="44" customHeight="1">
      <c r="A21" s="86" t="s">
        <v>185</v>
      </c>
      <c r="B21" s="82">
        <f>COUNTIF(Listings!D:D,A21)</f>
        <v>1</v>
      </c>
      <c r="C21" s="82">
        <f>IFERROR(_xlfn.MINIFS(Listings!AF:AF,Listings!D:D,A21,Listings!AD:AD,"Include"),"")</f>
        <v>0.1432258064516129</v>
      </c>
      <c r="D21" s="82">
        <f>IFERROR(AVERAGEIFS(Listings!AF:AF,Listings!D:D,A21,Listings!AD:AD,"Include"),"")</f>
        <v>0.1432258064516129</v>
      </c>
      <c r="E21" s="82" t="str" cm="1">
        <f t="array" ref="E21">IFERROR(INDEX(Listings!C:C,MATCH(1,(Listings!D:D=A21)*(Listings!AF:AF=C21),0)),"")</f>
        <v>Lusheen Soft Quilted Toilet Rolls Bulk Buy</v>
      </c>
    </row>
    <row r="22" spans="1:5" ht="44" customHeight="1">
      <c r="A22" s="87" t="s">
        <v>93</v>
      </c>
      <c r="B22" s="82">
        <f>COUNTIF(Listings!D:D,A22)</f>
        <v>1</v>
      </c>
      <c r="C22" s="82">
        <f>IFERROR(_xlfn.MINIFS(Listings!AF:AF,Listings!D:D,A22,Listings!AD:AD,"Include"),"")</f>
        <v>1.2475000000000001</v>
      </c>
      <c r="D22" s="82">
        <f>IFERROR(AVERAGEIFS(Listings!AF:AF,Listings!D:D,A22,Listings!AD:AD,"Include"),"")</f>
        <v>1.2475000000000001</v>
      </c>
      <c r="E22" s="82" t="str" cm="1">
        <f t="array" ref="E22">IFERROR(INDEX(Listings!C:C,MATCH(1,(Listings!D:D=A22)*(Listings!AF:AF=C22),0)),"")</f>
        <v>Morrisons Even Softer Quilted Comfort Tissue</v>
      </c>
    </row>
    <row r="23" spans="1:5" ht="44" customHeight="1">
      <c r="A23" s="87" t="s">
        <v>129</v>
      </c>
      <c r="B23" s="82">
        <f>COUNTIF(Listings!D:D,A23)</f>
        <v>2</v>
      </c>
      <c r="C23" s="82">
        <f>IFERROR(_xlfn.MINIFS(Listings!AF:AF,Listings!D:D,A23,Listings!AD:AD,"Include"),"")</f>
        <v>0.14468281250000001</v>
      </c>
      <c r="D23" s="82">
        <f>IFERROR(AVERAGEIFS(Listings!AF:AF,Listings!D:D,A23,Listings!AD:AD,"Include"),"")</f>
        <v>0.17298519709967319</v>
      </c>
      <c r="E23" s="82" t="str" cm="1">
        <f t="array" ref="E23">IFERROR(INDEX(Listings!C:C,MATCH(1,(Listings!D:D=A23)*(Listings!AF:AF=C23),0)),"")</f>
        <v>Nicky Elite Quilted 3 Ply Toilet Rolls 64 Pack</v>
      </c>
    </row>
    <row r="24" spans="1:5" ht="44" customHeight="1">
      <c r="A24" s="85" t="s">
        <v>68</v>
      </c>
      <c r="B24" s="82">
        <f>COUNTIF(Listings!D:D,A24)</f>
        <v>1</v>
      </c>
      <c r="C24" s="82">
        <f>IFERROR(_xlfn.MINIFS(Listings!AF:AF,Listings!D:D,A24,Listings!AD:AD,"Include"),"")</f>
        <v>0.26822916666666663</v>
      </c>
      <c r="D24" s="82">
        <f>IFERROR(AVERAGEIFS(Listings!AF:AF,Listings!D:D,A24,Listings!AD:AD,"Include"),"")</f>
        <v>0.26822916666666663</v>
      </c>
      <c r="E24" s="82" t="str" cm="1">
        <f t="array" ref="E24">IFERROR(INDEX(Listings!C:C,MATCH(1,(Listings!D:D=A24)*(Listings!AF:AF=C24),0)),"")</f>
        <v>Ocado Luxury Quilted Toilet Tissue</v>
      </c>
    </row>
    <row r="25" spans="1:5" ht="44" customHeight="1">
      <c r="A25" s="86" t="s">
        <v>170</v>
      </c>
      <c r="B25" s="82">
        <f>COUNTIF(Listings!D:D,A25)</f>
        <v>1</v>
      </c>
      <c r="C25" s="82">
        <f>IFERROR(_xlfn.MINIFS(Listings!AF:AF,Listings!D:D,A25,Listings!AD:AD,"Include"),"")</f>
        <v>0.18849206349206349</v>
      </c>
      <c r="D25" s="82">
        <f>IFERROR(AVERAGEIFS(Listings!AF:AF,Listings!D:D,A25,Listings!AD:AD,"Include"),"")</f>
        <v>0.18849206349206349</v>
      </c>
      <c r="E25" s="82" t="str" cm="1">
        <f t="array" ref="E25">IFERROR(INDEX(Listings!C:C,MATCH(1,(Listings!D:D=A25)*(Listings!AF:AF=C25),0)),"")</f>
        <v>Panda Cuddle 3‑Ply Quilted Toilet Paper</v>
      </c>
    </row>
    <row r="26" spans="1:5" ht="44" customHeight="1">
      <c r="A26" s="86" t="s">
        <v>154</v>
      </c>
      <c r="B26" s="82">
        <f>COUNTIF(Listings!D:D,A26)</f>
        <v>1</v>
      </c>
      <c r="C26" s="82">
        <f>IFERROR(_xlfn.MINIFS(Listings!AF:AF,Listings!D:D,A26,Listings!AD:AD,"Include"),"")</f>
        <v>0.29983333333333329</v>
      </c>
      <c r="D26" s="82">
        <f>IFERROR(AVERAGEIFS(Listings!AF:AF,Listings!D:D,A26,Listings!AD:AD,"Include"),"")</f>
        <v>0.29983333333333329</v>
      </c>
      <c r="E26" s="82" t="str" cm="1">
        <f t="array" ref="E26">IFERROR(INDEX(Listings!C:C,MATCH(1,(Listings!D:D=A26)*(Listings!AF:AF=C26),0)),"")</f>
        <v>Phoenix Toilet Rolls</v>
      </c>
    </row>
    <row r="27" spans="1:5" ht="44" customHeight="1">
      <c r="A27" s="86" t="s">
        <v>141</v>
      </c>
      <c r="B27" s="82">
        <f>COUNTIF(Listings!D:D,A27)</f>
        <v>1</v>
      </c>
      <c r="C27" s="82">
        <f>IFERROR(_xlfn.MINIFS(Listings!AF:AF,Listings!D:D,A27,Listings!AD:AD,"Include"),"")</f>
        <v>0.16978906249999998</v>
      </c>
      <c r="D27" s="82">
        <f>IFERROR(AVERAGEIFS(Listings!AF:AF,Listings!D:D,A27,Listings!AD:AD,"Include"),"")</f>
        <v>0.16978906249999998</v>
      </c>
      <c r="E27" s="82" t="str" cm="1">
        <f t="array" ref="E27">IFERROR(INDEX(Listings!C:C,MATCH(1,(Listings!D:D=A27)*(Listings!AF:AF=C27),0)),"")</f>
        <v>Premium Comfy Soft Quilted 3 Ply Toilet Tissue</v>
      </c>
    </row>
    <row r="28" spans="1:5" ht="44" customHeight="1">
      <c r="A28" s="86" t="s">
        <v>188</v>
      </c>
      <c r="B28" s="82">
        <f>COUNTIF(Listings!D:D,A28)</f>
        <v>1</v>
      </c>
      <c r="C28" s="82">
        <f>IFERROR(_xlfn.MINIFS(Listings!AF:AF,Listings!D:D,A28,Listings!AD:AD,"Include"),"")</f>
        <v>0.39563541666666657</v>
      </c>
      <c r="D28" s="82">
        <f>IFERROR(AVERAGEIFS(Listings!AF:AF,Listings!D:D,A28,Listings!AD:AD,"Include"),"")</f>
        <v>0.39563541666666657</v>
      </c>
      <c r="E28" s="82" t="str" cm="1">
        <f t="array" ref="E28">IFERROR(INDEX(Listings!C:C,MATCH(1,(Listings!D:D=A28)*(Listings!AF:AF=C28),0)),"")</f>
        <v>Pure Boo® Unbleached Bamboo Toilet Rolls</v>
      </c>
    </row>
    <row r="29" spans="1:5" ht="44" customHeight="1">
      <c r="A29" s="87" t="s">
        <v>136</v>
      </c>
      <c r="B29" s="82">
        <f>COUNTIF(Listings!D:D,A29)</f>
        <v>2</v>
      </c>
      <c r="C29" s="82">
        <f>IFERROR(_xlfn.MINIFS(Listings!AF:AF,Listings!D:D,A29,Listings!AD:AD,"Include"),"")</f>
        <v>0.23380555555555552</v>
      </c>
      <c r="D29" s="82">
        <f>IFERROR(AVERAGEIFS(Listings!AF:AF,Listings!D:D,A29,Listings!AD:AD,"Include"),"")</f>
        <v>0.26088715277777774</v>
      </c>
      <c r="E29" s="82" t="str" cm="1">
        <f t="array" ref="E29">IFERROR(INDEX(Listings!C:C,MATCH(1,(Listings!D:D=A29)*(Listings!AF:AF=C29),0)),"")</f>
        <v>Regina Gentle Soft Toilet Tissue</v>
      </c>
    </row>
    <row r="30" spans="1:5" ht="44" customHeight="1">
      <c r="A30" s="86" t="s">
        <v>66</v>
      </c>
      <c r="B30" s="82">
        <f>COUNTIF(Listings!D:D,A30)</f>
        <v>1</v>
      </c>
      <c r="C30" s="82">
        <f>IFERROR(_xlfn.MINIFS(Listings!AF:AF,Listings!D:D,A30,Listings!AD:AD,"Include"),"")</f>
        <v>0.22875816993464054</v>
      </c>
      <c r="D30" s="82">
        <f>IFERROR(AVERAGEIFS(Listings!AF:AF,Listings!D:D,A30,Listings!AD:AD,"Include"),"")</f>
        <v>0.22875816993464054</v>
      </c>
      <c r="E30" s="82" t="str" cm="1">
        <f t="array" ref="E30">IFERROR(INDEX(Listings!C:C,MATCH(1,(Listings!D:D=A30)*(Listings!AF:AF=C30),0)),"")</f>
        <v>Sainsbury's Super Soft Toilet Tissue, Quilted</v>
      </c>
    </row>
    <row r="31" spans="1:5" ht="44" customHeight="1">
      <c r="A31" s="87" t="s">
        <v>213</v>
      </c>
      <c r="B31" s="82">
        <f>COUNTIF(Listings!D:D,A31)</f>
        <v>1</v>
      </c>
      <c r="C31" s="82">
        <f>IFERROR(_xlfn.MINIFS(Listings!AF:AF,Listings!D:D,A31,Listings!AD:AD,"Include"),"")</f>
        <v>0.39048333333333335</v>
      </c>
      <c r="D31" s="82">
        <f>IFERROR(AVERAGEIFS(Listings!AF:AF,Listings!D:D,A31,Listings!AD:AD,"Include"),"")</f>
        <v>0.39048333333333335</v>
      </c>
      <c r="E31" s="82" t="str" cm="1">
        <f t="array" ref="E31">IFERROR(INDEX(Listings!C:C,MATCH(1,(Listings!D:D=A31)*(Listings!AF:AF=C31),0)),"")</f>
        <v>Scott® Control™ Small Roll Toilet Tissue 8558</v>
      </c>
    </row>
    <row r="32" spans="1:5" ht="44" customHeight="1">
      <c r="A32" s="85" t="s">
        <v>182</v>
      </c>
      <c r="B32" s="82">
        <f>COUNTIF(Listings!D:D,A32)</f>
        <v>1</v>
      </c>
      <c r="C32" s="82">
        <f>IFERROR(_xlfn.MINIFS(Listings!AF:AF,Listings!D:D,A32,Listings!AD:AD,"Include"),"")</f>
        <v>0.28499999999999998</v>
      </c>
      <c r="D32" s="82">
        <f>IFERROR(AVERAGEIFS(Listings!AF:AF,Listings!D:D,A32,Listings!AD:AD,"Include"),"")</f>
        <v>0.28499999999999998</v>
      </c>
      <c r="E32" s="82" t="str" cm="1">
        <f t="array" ref="E32">IFERROR(INDEX(Listings!C:C,MATCH(1,(Listings!D:D=A32)*(Listings!AF:AF=C32),0)),"")</f>
        <v>Selpak Professional Toilet Paper</v>
      </c>
    </row>
    <row r="33" spans="1:5" ht="44" customHeight="1">
      <c r="A33" s="87" t="s">
        <v>162</v>
      </c>
      <c r="B33" s="82">
        <f>COUNTIF(Listings!D:D,A33)</f>
        <v>2</v>
      </c>
      <c r="C33" s="82">
        <f>IFERROR(_xlfn.MINIFS(Listings!AF:AF,Listings!D:D,A33,Listings!AD:AD,"Include"),"")</f>
        <v>0.16484374999999998</v>
      </c>
      <c r="D33" s="82">
        <f>IFERROR(AVERAGEIFS(Listings!AF:AF,Listings!D:D,A33,Listings!AD:AD,"Include"),"")</f>
        <v>0.16976755401234567</v>
      </c>
      <c r="E33" s="82" t="str" cm="1">
        <f t="array" ref="E33">IFERROR(INDEX(Listings!C:C,MATCH(1,(Listings!D:D=A33)*(Listings!AF:AF=C33),0)),"")</f>
        <v>Serenity Toilet Rolls</v>
      </c>
    </row>
    <row r="34" spans="1:5" ht="44" customHeight="1">
      <c r="A34" s="85" t="s">
        <v>167</v>
      </c>
      <c r="B34" s="82">
        <f>COUNTIF(Listings!D:D,A34)</f>
        <v>1</v>
      </c>
      <c r="C34" s="82">
        <f>IFERROR(_xlfn.MINIFS(Listings!AF:AF,Listings!D:D,A34,Listings!AD:AD,"Include"),"")</f>
        <v>0.18739583333333332</v>
      </c>
      <c r="D34" s="82">
        <f>IFERROR(AVERAGEIFS(Listings!AF:AF,Listings!D:D,A34,Listings!AD:AD,"Include"),"")</f>
        <v>0.18739583333333332</v>
      </c>
      <c r="E34" s="82" t="str" cm="1">
        <f t="array" ref="E34">IFERROR(INDEX(Listings!C:C,MATCH(1,(Listings!D:D=A34)*(Listings!AF:AF=C34),0)),"")</f>
        <v xml:space="preserve">Softesse Toilet Paper </v>
      </c>
    </row>
    <row r="35" spans="1:5" ht="44" customHeight="1">
      <c r="A35" s="86" t="s">
        <v>202</v>
      </c>
      <c r="B35" s="82">
        <f>COUNTIF(Listings!D:D,A35)</f>
        <v>1</v>
      </c>
      <c r="C35" s="82">
        <f>IFERROR(_xlfn.MINIFS(Listings!AF:AF,Listings!D:D,A35,Listings!AD:AD,"Include"),"")</f>
        <v>0.17701388888888889</v>
      </c>
      <c r="D35" s="82">
        <f>IFERROR(AVERAGEIFS(Listings!AF:AF,Listings!D:D,A35,Listings!AD:AD,"Include"),"")</f>
        <v>0.17701388888888889</v>
      </c>
      <c r="E35" s="82" t="str" cm="1">
        <f t="array" ref="E35">IFERROR(INDEX(Listings!C:C,MATCH(1,(Listings!D:D=A35)*(Listings!AF:AF=C35),0)),"")</f>
        <v>Softlux Toilet Rolls</v>
      </c>
    </row>
    <row r="36" spans="1:5" ht="44" customHeight="1">
      <c r="A36" s="86" t="s">
        <v>134</v>
      </c>
      <c r="B36" s="82">
        <f>COUNTIF(Listings!D:D,A36)</f>
        <v>2</v>
      </c>
      <c r="C36" s="82">
        <f>IFERROR(_xlfn.MINIFS(Listings!AF:AF,Listings!D:D,A36,Listings!AD:AD,"Include"),"")</f>
        <v>0.24500648148148149</v>
      </c>
      <c r="D36" s="82">
        <f>IFERROR(AVERAGEIFS(Listings!AF:AF,Listings!D:D,A36,Listings!AD:AD,"Include"),"")</f>
        <v>0.25022546296296294</v>
      </c>
      <c r="E36" s="82" t="str" cm="1">
        <f t="array" ref="E36">IFERROR(INDEX(Listings!C:C,MATCH(1,(Listings!D:D=A36)*(Listings!AF:AF=C36),0)),"")</f>
        <v>Splesh Quilted Luna Bloom 3-Ply Luxury Scented Toilet Tissue Paper</v>
      </c>
    </row>
    <row r="37" spans="1:5" ht="44" customHeight="1">
      <c r="A37" s="87" t="s">
        <v>62</v>
      </c>
      <c r="B37" s="82">
        <f>COUNTIF(Listings!D:D,A37)</f>
        <v>1</v>
      </c>
      <c r="C37" s="82">
        <f>IFERROR(_xlfn.MINIFS(Listings!AF:AF,Listings!D:D,A37,Listings!AD:AD,"Include"),"")</f>
        <v>0.26041666666666663</v>
      </c>
      <c r="D37" s="82">
        <f>IFERROR(AVERAGEIFS(Listings!AF:AF,Listings!D:D,A37,Listings!AD:AD,"Include"),"")</f>
        <v>0.26041666666666663</v>
      </c>
      <c r="E37" s="82" t="str" cm="1">
        <f t="array" ref="E37">IFERROR(INDEX(Listings!C:C,MATCH(1,(Listings!D:D=A37)*(Listings!AF:AF=C37),0)),"")</f>
        <v>Tesco Luxury Soft Quilted Toilet Tissue</v>
      </c>
    </row>
    <row r="38" spans="1:5" ht="44" customHeight="1">
      <c r="A38" s="86" t="s">
        <v>199</v>
      </c>
      <c r="B38" s="82">
        <f>COUNTIF(Listings!D:D,A38)</f>
        <v>1</v>
      </c>
      <c r="C38" s="82">
        <f>IFERROR(_xlfn.MINIFS(Listings!AF:AF,Listings!D:D,A38,Listings!AD:AD,"Include"),"")</f>
        <v>0.38653333333333328</v>
      </c>
      <c r="D38" s="82">
        <f>IFERROR(AVERAGEIFS(Listings!AF:AF,Listings!D:D,A38,Listings!AD:AD,"Include"),"")</f>
        <v>0.38653333333333328</v>
      </c>
      <c r="E38" s="82" t="str" cm="1">
        <f t="array" ref="E38">IFERROR(INDEX(Listings!C:C,MATCH(1,(Listings!D:D=A38)*(Listings!AF:AF=C38),0)),"")</f>
        <v>Tork 110782 extra soft toilet rolls</v>
      </c>
    </row>
    <row r="39" spans="1:5" ht="44" customHeight="1">
      <c r="A39" s="87" t="s">
        <v>215</v>
      </c>
      <c r="B39" s="82">
        <f>COUNTIF(Listings!D:D,A39)</f>
        <v>1</v>
      </c>
      <c r="C39" s="82">
        <f>IFERROR(_xlfn.MINIFS(Listings!AF:AF,Listings!D:D,A39,Listings!AD:AD,"Include"),"")</f>
        <v>0.22207407407407406</v>
      </c>
      <c r="D39" s="82">
        <f>IFERROR(AVERAGEIFS(Listings!AF:AF,Listings!D:D,A39,Listings!AD:AD,"Include"),"")</f>
        <v>0.22207407407407406</v>
      </c>
      <c r="E39" s="82" t="str" cm="1">
        <f t="array" ref="E39">IFERROR(INDEX(Listings!C:C,MATCH(1,(Listings!D:D=A39)*(Listings!AF:AF=C39),0)),"")</f>
        <v>value plus Quilted &amp; Embossed Toilet Paper with Coconut</v>
      </c>
    </row>
    <row r="40" spans="1:5" ht="44" customHeight="1">
      <c r="A40" s="85" t="s">
        <v>133</v>
      </c>
      <c r="B40" s="82">
        <f>COUNTIF(Listings!D:D,A40)</f>
        <v>2</v>
      </c>
      <c r="C40" s="82">
        <f>IFERROR(_xlfn.MINIFS(Listings!AF:AF,Listings!D:D,A40,Listings!AD:AD,"Include"),"")</f>
        <v>0.2361111111111111</v>
      </c>
      <c r="D40" s="82">
        <f>IFERROR(AVERAGEIFS(Listings!AF:AF,Listings!D:D,A40,Listings!AD:AD,"Include"),"")</f>
        <v>0.23965277777777777</v>
      </c>
      <c r="E40" s="82" t="str" cm="1">
        <f t="array" ref="E40">IFERROR(INDEX(Listings!C:C,MATCH(1,(Listings!D:D=A40)*(Listings!AF:AF=C40),0)),"")</f>
        <v>Velvet Classic Quilted Toilet Tissue</v>
      </c>
    </row>
    <row r="41" spans="1:5" ht="44" customHeight="1">
      <c r="A41" s="86" t="s">
        <v>135</v>
      </c>
      <c r="B41" s="82">
        <f>COUNTIF(Listings!D:D,A41)</f>
        <v>2</v>
      </c>
      <c r="C41" s="82">
        <f>IFERROR(_xlfn.MINIFS(Listings!AF:AF,Listings!D:D,A41,Listings!AD:AD,"Include"),"")</f>
        <v>0.27078125000000003</v>
      </c>
      <c r="D41" s="82">
        <f>IFERROR(AVERAGEIFS(Listings!AF:AF,Listings!D:D,A41,Listings!AD:AD,"Include"),"")</f>
        <v>0.3244338348765432</v>
      </c>
      <c r="E41" s="82" t="str" cm="1">
        <f t="array" ref="E41">IFERROR(INDEX(Listings!C:C,MATCH(1,(Listings!D:D=A41)*(Listings!AF:AF=C41),0)),"")</f>
        <v>Who Gives A Crap Recycled Toilet Roll</v>
      </c>
    </row>
    <row r="42" spans="1:5">
      <c r="A42"/>
      <c r="B42"/>
      <c r="C42"/>
      <c r="D42"/>
      <c r="E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  <c r="D52"/>
      <c r="E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</sheetData>
  <sortState xmlns:xlrd2="http://schemas.microsoft.com/office/spreadsheetml/2017/richdata2" ref="A3:A41">
    <sortCondition ref="A2:A4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tabSelected="1" topLeftCell="A7" zoomScaleNormal="130" workbookViewId="0">
      <selection activeCell="B12" sqref="B12"/>
    </sheetView>
  </sheetViews>
  <sheetFormatPr baseColWidth="10" defaultColWidth="8.83203125" defaultRowHeight="15"/>
  <cols>
    <col min="1" max="1" width="12.33203125" style="2" customWidth="1"/>
    <col min="2" max="2" width="20" style="2" customWidth="1"/>
    <col min="3" max="3" width="38" style="2" customWidth="1"/>
    <col min="4" max="4" width="15.83203125" style="2" customWidth="1"/>
    <col min="5" max="5" width="20.6640625" style="2" customWidth="1"/>
    <col min="6" max="6" width="20.1640625" style="2" customWidth="1"/>
    <col min="7" max="7" width="18" style="2" customWidth="1"/>
    <col min="8" max="8" width="12" style="2" customWidth="1"/>
    <col min="9" max="16384" width="8.83203125" style="2"/>
  </cols>
  <sheetData>
    <row r="1" spans="1:8" ht="45.25" customHeight="1">
      <c r="A1" s="57" t="s">
        <v>94</v>
      </c>
      <c r="B1" s="57"/>
      <c r="C1" s="57"/>
      <c r="D1" s="57"/>
      <c r="E1" s="57"/>
      <c r="F1" s="57"/>
      <c r="G1" s="57"/>
      <c r="H1" s="57"/>
    </row>
    <row r="2" spans="1:8" s="32" customFormat="1" ht="29.25" customHeight="1">
      <c r="A2" s="31" t="s">
        <v>49</v>
      </c>
      <c r="B2" s="31"/>
      <c r="C2" s="31"/>
      <c r="D2" s="31"/>
      <c r="E2" s="31"/>
      <c r="F2" s="31"/>
      <c r="G2" s="31"/>
      <c r="H2" s="31"/>
    </row>
    <row r="3" spans="1:8" s="32" customFormat="1" ht="29.25" customHeight="1">
      <c r="A3" s="33"/>
      <c r="B3" s="33"/>
      <c r="C3" s="33"/>
      <c r="D3" s="33"/>
      <c r="E3" s="33"/>
      <c r="F3" s="33"/>
      <c r="G3" s="33"/>
      <c r="H3" s="33"/>
    </row>
    <row r="4" spans="1:8" s="32" customFormat="1" ht="44">
      <c r="A4" s="34" t="s">
        <v>50</v>
      </c>
      <c r="B4" s="59">
        <f>COUNTIF(Listings!$AD$2:$AD$76,"Include")</f>
        <v>55</v>
      </c>
      <c r="C4" s="33"/>
      <c r="D4" s="33"/>
      <c r="E4" s="33"/>
      <c r="F4" s="33"/>
      <c r="G4" s="33"/>
      <c r="H4" s="33"/>
    </row>
    <row r="5" spans="1:8" s="32" customFormat="1" ht="44">
      <c r="A5" s="34" t="s">
        <v>51</v>
      </c>
      <c r="B5" s="60">
        <f>IFERROR(MIN(Listings!$AF$2:$AF$76),"")</f>
        <v>0.13384635416666665</v>
      </c>
      <c r="C5" s="33"/>
      <c r="D5" s="33"/>
      <c r="E5" s="33"/>
      <c r="F5" s="33"/>
      <c r="G5" s="33"/>
      <c r="H5" s="33"/>
    </row>
    <row r="6" spans="1:8" s="32" customFormat="1" ht="44">
      <c r="A6" s="34" t="s">
        <v>52</v>
      </c>
      <c r="B6" s="59" t="str">
        <f>IFERROR(INDEX(Listings!$C$2:$C$76,MATCH(1,Listings!$AG$2:$AG$76,0)),"")</f>
        <v>Saxon Premium Toilet Paper</v>
      </c>
      <c r="C6" s="33"/>
      <c r="D6" s="33"/>
      <c r="E6" s="33"/>
      <c r="F6" s="33"/>
      <c r="G6" s="33"/>
      <c r="H6" s="33"/>
    </row>
    <row r="7" spans="1:8" s="32" customFormat="1" ht="44">
      <c r="A7" s="34" t="s">
        <v>53</v>
      </c>
      <c r="B7" s="59" t="str">
        <f>IFERROR(INDEX(Listings!$B$2:$B$76,MATCH(1,Listings!$AG$2:$AG$76,0)),"")</f>
        <v>Aldi</v>
      </c>
      <c r="C7" s="33"/>
      <c r="D7" s="33"/>
      <c r="E7" s="33"/>
      <c r="F7" s="33"/>
      <c r="G7" s="33"/>
      <c r="H7" s="33"/>
    </row>
    <row r="8" spans="1:8" s="32" customFormat="1" ht="44">
      <c r="A8" s="34" t="s">
        <v>54</v>
      </c>
      <c r="B8" s="61">
        <f>IFERROR(MAX(Listings!$A$2:$A$76),"")</f>
        <v>46188</v>
      </c>
      <c r="C8" s="33"/>
      <c r="D8" s="33"/>
      <c r="E8" s="33"/>
      <c r="F8" s="33"/>
      <c r="G8" s="33"/>
      <c r="H8" s="33"/>
    </row>
    <row r="9" spans="1:8" s="32" customFormat="1" ht="29.25" customHeight="1">
      <c r="A9" s="33"/>
      <c r="B9" s="33"/>
      <c r="C9" s="33"/>
      <c r="D9" s="33"/>
      <c r="E9" s="33"/>
      <c r="F9" s="33"/>
      <c r="G9" s="33"/>
      <c r="H9" s="33"/>
    </row>
    <row r="10" spans="1:8" s="32" customFormat="1" ht="34.75" customHeight="1">
      <c r="A10" s="35" t="s">
        <v>42</v>
      </c>
      <c r="B10" s="36" t="s">
        <v>13</v>
      </c>
      <c r="C10" s="36" t="s">
        <v>14</v>
      </c>
      <c r="D10" s="36" t="s">
        <v>22</v>
      </c>
      <c r="E10" s="36" t="s">
        <v>32</v>
      </c>
      <c r="F10" s="36" t="s">
        <v>41</v>
      </c>
      <c r="G10" s="36" t="s">
        <v>25</v>
      </c>
      <c r="H10" s="37" t="s">
        <v>15</v>
      </c>
    </row>
    <row r="11" spans="1:8" s="32" customFormat="1" ht="44" customHeight="1">
      <c r="A11" s="38">
        <v>1</v>
      </c>
      <c r="B11" s="62" t="str">
        <f>IFERROR(INDEX(Listings!$B$2:$B$76,MATCH($A11,Listings!$AG$2:$AG$76,0)),"")</f>
        <v>Aldi</v>
      </c>
      <c r="C11" s="62" t="str">
        <f>IFERROR(INDEX(Listings!$C$2:$C$76,MATCH($A11,Listings!$AG$2:$AG$76,0)),"")</f>
        <v>Saxon Premium Toilet Paper</v>
      </c>
      <c r="D11" s="63">
        <f>IFERROR(INDEX(Listings!$L$2:$L$76,MATCH($A11,Listings!$AG$2:$AG$76,0)),"")</f>
        <v>4.99</v>
      </c>
      <c r="E11" s="63">
        <f>IFERROR(INDEX(Listings!$V$2:$V$76,MATCH($A11,Listings!$AG$2:$AG$76,0)),"")</f>
        <v>0.12994791666666666</v>
      </c>
      <c r="F11" s="63">
        <f>IFERROR(INDEX(Listings!$AF$2:$AF$76,MATCH($A11,Listings!$AG$2:$AG$76,0)),"")</f>
        <v>0.13384635416666665</v>
      </c>
      <c r="G11" s="63">
        <f>IFERROR(INDEX(Listings!$O$2:$O$76,MATCH($A11,Listings!$AG$2:$AG$76,0)),"")</f>
        <v>3840</v>
      </c>
      <c r="H11" s="64" t="str">
        <f>IFERROR(INDEX(Listings!$E$2:$E$76,MATCH($A11,Listings!$AG$2:$AG$76,0)),"")</f>
        <v>https://www.aldi.co.uk/product/saxon-premium-toilet-paper-12-pack-000000000000632047</v>
      </c>
    </row>
    <row r="12" spans="1:8" s="32" customFormat="1" ht="44" customHeight="1">
      <c r="A12" s="40">
        <v>2</v>
      </c>
      <c r="B12" s="65" t="str">
        <f>IFERROR(INDEX(Listings!$B$2:$B$76,MATCH($A12,Listings!$AG$2:$AG$76,0)),"")</f>
        <v>Amazon</v>
      </c>
      <c r="C12" s="65" t="str">
        <f>IFERROR(INDEX(Listings!$C$2:$C$76,MATCH($A12,Listings!$AG$2:$AG$76,0)),"")</f>
        <v>Lusheen Soft Quilted Toilet Rolls Bulk Buy</v>
      </c>
      <c r="D12" s="66">
        <f>IFERROR(INDEX(Listings!$L$2:$L$76,MATCH($A12,Listings!$AG$2:$AG$76,0)),"")</f>
        <v>9.99</v>
      </c>
      <c r="E12" s="66">
        <f>IFERROR(INDEX(Listings!$V$2:$V$76,MATCH($A12,Listings!$AG$2:$AG$76,0)),"")</f>
        <v>0.1432258064516129</v>
      </c>
      <c r="F12" s="66">
        <f>IFERROR(INDEX(Listings!$AF$2:$AF$76,MATCH($A12,Listings!$AG$2:$AG$76,0)),"")</f>
        <v>0.1432258064516129</v>
      </c>
      <c r="G12" s="66">
        <f>IFERROR(INDEX(Listings!$O$2:$O$76,MATCH($A12,Listings!$AG$2:$AG$76,0)),"")</f>
        <v>6975</v>
      </c>
      <c r="H12" s="67" t="str">
        <f>IFERROR(INDEX(Listings!$E$2:$E$76,MATCH($A12,Listings!$AG$2:$AG$76,0)),"")</f>
        <v>https://www.amazon.co.uk/Lusheen-Soft-Quilted-Toilet-Rolls/dp/B0FS1XXWCP/ref=sr_1_62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v>
      </c>
    </row>
    <row r="13" spans="1:8" s="32" customFormat="1" ht="44" customHeight="1">
      <c r="A13" s="38">
        <v>3</v>
      </c>
      <c r="B13" s="62" t="str">
        <f>IFERROR(INDEX(Listings!$B$2:$B$76,MATCH($A13,Listings!$AG$2:$AG$76,0)),"")</f>
        <v>Home Bargains</v>
      </c>
      <c r="C13" s="62" t="str">
        <f>IFERROR(INDEX(Listings!$C$2:$C$76,MATCH($A13,Listings!$AG$2:$AG$76,0)),"")</f>
        <v>Nicky Elite Quilted 3 Ply Toilet Rolls 64 Pack</v>
      </c>
      <c r="D13" s="63">
        <f>IFERROR(INDEX(Listings!$L$2:$L$76,MATCH($A13,Listings!$AG$2:$AG$76,0)),"")</f>
        <v>17.98</v>
      </c>
      <c r="E13" s="63">
        <f>IFERROR(INDEX(Listings!$V$2:$V$76,MATCH($A13,Listings!$AG$2:$AG$76,0)),"")</f>
        <v>0.14046875</v>
      </c>
      <c r="F13" s="63">
        <f>IFERROR(INDEX(Listings!$AF$2:$AF$76,MATCH($A13,Listings!$AG$2:$AG$76,0)),"")</f>
        <v>0.14468281250000001</v>
      </c>
      <c r="G13" s="63">
        <f>IFERROR(INDEX(Listings!$O$2:$O$76,MATCH($A13,Listings!$AG$2:$AG$76,0)),"")</f>
        <v>12800</v>
      </c>
      <c r="H13" s="64" t="str">
        <f>IFERROR(INDEX(Listings!$E$2:$E$76,MATCH($A13,Listings!$AG$2:$AG$76,0)),"")</f>
        <v>https://home.bargains/product/661dc0c2-2147-4d26-ad99-1334b3c19db4/nicky-elite-quilted-3-ply-toilet-rolls-64-pack-delivery-included?qid=f75f1b64a41775a62f475de1c55991cc</v>
      </c>
    </row>
    <row r="14" spans="1:8" s="32" customFormat="1" ht="44" customHeight="1">
      <c r="A14" s="40">
        <v>4</v>
      </c>
      <c r="B14" s="65" t="str">
        <f>IFERROR(INDEX(Listings!$B$2:$B$76,MATCH($A14,Listings!$AG$2:$AG$76,0)),"")</f>
        <v>Tesco</v>
      </c>
      <c r="C14" s="65" t="str">
        <f>IFERROR(INDEX(Listings!$C$2:$C$76,MATCH($A14,Listings!$AG$2:$AG$76,0)),"")</f>
        <v>Little Duck Supreme Quilted Toilet Tissue</v>
      </c>
      <c r="D14" s="66">
        <f>IFERROR(INDEX(Listings!$L$2:$L$76,MATCH($A14,Listings!$AG$2:$AG$76,0)),"")</f>
        <v>6</v>
      </c>
      <c r="E14" s="66">
        <f>IFERROR(INDEX(Listings!$V$2:$V$76,MATCH($A14,Listings!$AG$2:$AG$76,0)),"")</f>
        <v>0.15625</v>
      </c>
      <c r="F14" s="66">
        <f>IFERROR(INDEX(Listings!$AF$2:$AF$76,MATCH($A14,Listings!$AG$2:$AG$76,0)),"")</f>
        <v>0.1640625</v>
      </c>
      <c r="G14" s="66">
        <f>IFERROR(INDEX(Listings!$O$2:$O$76,MATCH($A14,Listings!$AG$2:$AG$76,0)),"")</f>
        <v>3840</v>
      </c>
      <c r="H14" s="67" t="str">
        <f>IFERROR(INDEX(Listings!$E$2:$E$76,MATCH($A14,Listings!$AG$2:$AG$76,0)),"")</f>
        <v>https://www.tesco.com/shop/en-GB/products/321034855?_gl=1*sk0av2*_up*MQ..*_ga*Njg3NDQwODQyLjE3ODEzMDY1OTI.*_ga_H653QXESTP*czE3ODEzMDY1ODkkbzEkZzAkdDE3ODEzMDY1OTEkajU4JGwwJGg2MzYzNjI3Mjg.*_ga_33B19D36CY*czE3ODEzMDY1OTEkbzEkZzEkdDE3ODEzMDY5MTEkajYwJGwwJGgxNTA2NjcyMjk0</v>
      </c>
    </row>
    <row r="15" spans="1:8" s="32" customFormat="1" ht="44" customHeight="1">
      <c r="A15" s="38">
        <v>5</v>
      </c>
      <c r="B15" s="62" t="str">
        <f>IFERROR(INDEX(Listings!$B$2:$B$76,MATCH($A15,Listings!$AG$2:$AG$76,0)),"")</f>
        <v>Amazon</v>
      </c>
      <c r="C15" s="62" t="str">
        <f>IFERROR(INDEX(Listings!$C$2:$C$76,MATCH($A15,Listings!$AG$2:$AG$76,0)),"")</f>
        <v>Serenity Toilet Rolls</v>
      </c>
      <c r="D15" s="63">
        <f>IFERROR(INDEX(Listings!$L$2:$L$76,MATCH($A15,Listings!$AG$2:$AG$76,0)),"")</f>
        <v>18.989999999999998</v>
      </c>
      <c r="E15" s="63">
        <f>IFERROR(INDEX(Listings!$V$2:$V$76,MATCH($A15,Listings!$AG$2:$AG$76,0)),"")</f>
        <v>0.16484374999999998</v>
      </c>
      <c r="F15" s="63">
        <f>IFERROR(INDEX(Listings!$AF$2:$AF$76,MATCH($A15,Listings!$AG$2:$AG$76,0)),"")</f>
        <v>0.16484374999999998</v>
      </c>
      <c r="G15" s="63">
        <f>IFERROR(INDEX(Listings!$O$2:$O$76,MATCH($A15,Listings!$AG$2:$AG$76,0)),"")</f>
        <v>11520</v>
      </c>
      <c r="H15" s="64" t="str">
        <f>IFERROR(INDEX(Listings!$E$2:$E$76,MATCH($A15,Listings!$AG$2:$AG$76,0)),"")</f>
        <v>https://www.amazon.co.uk/dp/B0F9X2GWGG/ref=sspa_dk_detail_3?pd_rd_i=B0F9X2GWGG&amp;pd_rd_w=YFjNz&amp;content-id=amzn1.sym.2f04b396-4cf6-4c10-837f-e222197e3b38&amp;pf_rd_p=2f04b396-4cf6-4c10-837f-e222197e3b38&amp;pf_rd_r=ZNA7W733GQ76FAY9A47Y&amp;pd_rd_wg=KCuZj&amp;pd_rd_r=9a025201-41a8-4ecb-8339-9caf239e3056&amp;aref=GjSls8fb7p&amp;sp_csd=d2lkZ2V0TmFtZT1zcF9kZXRhaWxfdGhlbWF0aWM&amp;th=1</v>
      </c>
    </row>
    <row r="16" spans="1:8" s="32" customFormat="1" ht="44" customHeight="1">
      <c r="A16" s="40">
        <v>6</v>
      </c>
      <c r="B16" s="65" t="str">
        <f>IFERROR(INDEX(Listings!$B$2:$B$76,MATCH($A16,Listings!$AG$2:$AG$76,0)),"")</f>
        <v>Home Bargains</v>
      </c>
      <c r="C16" s="65" t="str">
        <f>IFERROR(INDEX(Listings!$C$2:$C$76,MATCH($A16,Listings!$AG$2:$AG$76,0)),"")</f>
        <v>Premium Comfy Soft Quilted 3 Ply Toilet Tissue</v>
      </c>
      <c r="D16" s="66">
        <f>IFERROR(INDEX(Listings!$L$2:$L$76,MATCH($A16,Listings!$AG$2:$AG$76,0)),"")</f>
        <v>18.989999999999998</v>
      </c>
      <c r="E16" s="66">
        <f>IFERROR(INDEX(Listings!$V$2:$V$76,MATCH($A16,Listings!$AG$2:$AG$76,0)),"")</f>
        <v>0.16484374999999998</v>
      </c>
      <c r="F16" s="66">
        <f>IFERROR(INDEX(Listings!$AF$2:$AF$76,MATCH($A16,Listings!$AG$2:$AG$76,0)),"")</f>
        <v>0.16978906249999998</v>
      </c>
      <c r="G16" s="66">
        <f>IFERROR(INDEX(Listings!$O$2:$O$76,MATCH($A16,Listings!$AG$2:$AG$76,0)),"")</f>
        <v>11520</v>
      </c>
      <c r="H16" s="67" t="str">
        <f>IFERROR(INDEX(Listings!$E$2:$E$76,MATCH($A16,Listings!$AG$2:$AG$76,0)),"")</f>
        <v>https://home.bargains/product/82ee3af9-627d-4995-9914-a93fa929d359/premium-comfy-soft-quilted-3-ply-toilet-tissue-24-rolls-x3-delivery-included?qid=f75f1b64a41775a62f475de1c55991cc</v>
      </c>
    </row>
    <row r="17" spans="1:8" s="32" customFormat="1" ht="44" customHeight="1">
      <c r="A17" s="38">
        <v>7</v>
      </c>
      <c r="B17" s="62" t="str">
        <f>IFERROR(INDEX(Listings!$B$2:$B$76,MATCH($A17,Listings!$AG$2:$AG$76,0)),"")</f>
        <v>Amazon</v>
      </c>
      <c r="C17" s="62" t="str">
        <f>IFERROR(INDEX(Listings!$C$2:$C$76,MATCH($A17,Listings!$AG$2:$AG$76,0)),"")</f>
        <v>Serenity Toilet Tissue</v>
      </c>
      <c r="D17" s="63">
        <f>IFERROR(INDEX(Listings!$L$2:$L$76,MATCH($A17,Listings!$AG$2:$AG$76,0)),"")</f>
        <v>14.15</v>
      </c>
      <c r="E17" s="63">
        <f>IFERROR(INDEX(Listings!$V$2:$V$76,MATCH($A17,Listings!$AG$2:$AG$76,0)),"")</f>
        <v>0.17469135802469135</v>
      </c>
      <c r="F17" s="63">
        <f>IFERROR(INDEX(Listings!$AF$2:$AF$76,MATCH($A17,Listings!$AG$2:$AG$76,0)),"")</f>
        <v>0.17469135802469135</v>
      </c>
      <c r="G17" s="63">
        <f>IFERROR(INDEX(Listings!$O$2:$O$76,MATCH($A17,Listings!$AG$2:$AG$76,0)),"")</f>
        <v>8100</v>
      </c>
      <c r="H17" s="64" t="str">
        <f>IFERROR(INDEX(Listings!$E$2:$E$76,MATCH($A17,Listings!$AG$2:$AG$76,0)),"")</f>
        <v>https://www.amazon.co.uk/Serenity-Quilted-Luxuriously-Hypoallergenic-Sustainable/dp/B0DZ18FKFY/ref=sr_1_13_sspa?dib=eyJ2IjoiMSJ9.0VrQIYFNkddqjafxnBR4YTeWgT5cLGR5Y8SPipAYeZS7pFul15p3BNZPd_roKbmNl9KhjGGNEDuDFHWeP6gZK3n554gP9GbeOL7U6C9yEYVshr-m1kTidS7YVXLWWw8AaLPFGJWLKYZq4oftUEF_sYbAfbLrgnQChJRXcNYBXpD8kBom22EdiTv9sy8TAzYdXzr7vaec0trGkYXh8cxLh-UrEUvkYocXltZ4T1_IDxgnO91LF_hDl_Gv_unq777iVpJKCaDCRyz2vRRT3upJJXWAGp_rvuI7HVkbnVW4ZZM.Z9LHQyKSlJpjdNFJrgAVwXrwtwqWXrNRFB5oyJ00uso&amp;dib_tag=se&amp;keywords=toilet%2Brolls%2B3ply&amp;qid=1781348685&amp;sr=8-13-spons&amp;aref=rwCRoscNUH&amp;sp_csd=d2lkZ2V0TmFtZT1zcF9tdGY&amp;th=1</v>
      </c>
    </row>
    <row r="18" spans="1:8" s="32" customFormat="1" ht="44" customHeight="1">
      <c r="A18" s="40">
        <v>8</v>
      </c>
      <c r="B18" s="65" t="str">
        <f>IFERROR(INDEX(Listings!$B$2:$B$76,MATCH($A18,Listings!$AG$2:$AG$76,0)),"")</f>
        <v>Amazon</v>
      </c>
      <c r="C18" s="65" t="str">
        <f>IFERROR(INDEX(Listings!$C$2:$C$76,MATCH($A18,Listings!$AG$2:$AG$76,0)),"")</f>
        <v>Softlux Toilet Rolls</v>
      </c>
      <c r="D18" s="66">
        <f>IFERROR(INDEX(Listings!$L$2:$L$76,MATCH($A18,Listings!$AG$2:$AG$76,0)),"")</f>
        <v>25.49</v>
      </c>
      <c r="E18" s="66">
        <f>IFERROR(INDEX(Listings!$V$2:$V$76,MATCH($A18,Listings!$AG$2:$AG$76,0)),"")</f>
        <v>0.17701388888888889</v>
      </c>
      <c r="F18" s="66">
        <f>IFERROR(INDEX(Listings!$AF$2:$AF$76,MATCH($A18,Listings!$AG$2:$AG$76,0)),"")</f>
        <v>0.17701388888888889</v>
      </c>
      <c r="G18" s="66">
        <f>IFERROR(INDEX(Listings!$O$2:$O$76,MATCH($A18,Listings!$AG$2:$AG$76,0)),"")</f>
        <v>14400</v>
      </c>
      <c r="H18" s="67" t="str">
        <f>IFERROR(INDEX(Listings!$E$2:$E$76,MATCH($A18,Listings!$AG$2:$AG$76,0)),"")</f>
        <v>https://www.amazon.co.uk/Softlux-Toilet-Embossed-Quilted-Unscented/dp/B0GMJZL6T8/ref=sr_1_84?dib=eyJ2IjoiMSJ9.zLBvAWWN9LXeSGaNKgq_kwu6K1tlIUQdQ3a_4ewJtlE4qQ5y8DlucRLVp_it6y2lT9Uysy5s91Jtpyca3GJsv58AKGjDe5GuyTokuf0pLuT1_rCCxETb1BiZpYsPLtCwLawjed9U8b5A8Pydxb_3mMxg_sDdo6U5pXdELasD7ydsMqXbqDle7JsKTYxfiF0s12xowJD9FwgD3Abj05V9F1FQU1bviCm5doI-7Iu2zPERwvnjX9Ke7E-Mf-2ELd1tbut23mbKYpXSXH0lIOAFQnrwfonOaq4np4WztNOX5T4.wrBMswEacn4pfixDjRlhv2_T6bhTNv02JKGWJOoCHCw&amp;dib_tag=se&amp;keywords=toilet+rolls+3ply&amp;qid=1781348762&amp;xpid=FjHbdT4PCS1_n</v>
      </c>
    </row>
    <row r="19" spans="1:8" s="32" customFormat="1" ht="44" customHeight="1">
      <c r="A19" s="38">
        <v>9</v>
      </c>
      <c r="B19" s="62" t="str">
        <f>IFERROR(INDEX(Listings!$B$2:$B$76,MATCH($A19,Listings!$AG$2:$AG$76,0)),"")</f>
        <v>Morrisons</v>
      </c>
      <c r="C19" s="62" t="str">
        <f>IFERROR(INDEX(Listings!$C$2:$C$76,MATCH($A19,Listings!$AG$2:$AG$76,0)),"")</f>
        <v>Elegance Gentle Quilted Toilet Paper</v>
      </c>
      <c r="D19" s="63">
        <f>IFERROR(INDEX(Listings!$L$2:$L$76,MATCH($A19,Listings!$AG$2:$AG$76,0)),"")</f>
        <v>6.5</v>
      </c>
      <c r="E19" s="63">
        <f>IFERROR(INDEX(Listings!$V$2:$V$76,MATCH($A19,Listings!$AG$2:$AG$76,0)),"")</f>
        <v>0.16927083333333334</v>
      </c>
      <c r="F19" s="63">
        <f>IFERROR(INDEX(Listings!$AF$2:$AF$76,MATCH($A19,Listings!$AG$2:$AG$76,0)),"")</f>
        <v>0.17773437500000003</v>
      </c>
      <c r="G19" s="63">
        <f>IFERROR(INDEX(Listings!$O$2:$O$76,MATCH($A19,Listings!$AG$2:$AG$76,0)),"")</f>
        <v>3840</v>
      </c>
      <c r="H19" s="64" t="str">
        <f>IFERROR(INDEX(Listings!$E$2:$E$76,MATCH($A19,Listings!$AG$2:$AG$76,0)),"")</f>
        <v>https://groceries.morrisons.com/products/elegance-gentle-quilted-toilet-paper-24-pack/113348943</v>
      </c>
    </row>
    <row r="20" spans="1:8" s="32" customFormat="1" ht="44" customHeight="1">
      <c r="A20" s="42">
        <v>10</v>
      </c>
      <c r="B20" s="68" t="str">
        <f>IFERROR(INDEX(Listings!$B$2:$B$76,MATCH($A20,Listings!$AG$2:$AG$76,0)),"")</f>
        <v>Amazon</v>
      </c>
      <c r="C20" s="68" t="str">
        <f>IFERROR(INDEX(Listings!$C$2:$C$76,MATCH($A20,Listings!$AG$2:$AG$76,0)),"")</f>
        <v>Eloquence Super Soft Luxuriously Quilted Toilet Tissue Rolls</v>
      </c>
      <c r="D20" s="69">
        <f>IFERROR(INDEX(Listings!$L$2:$L$76,MATCH($A20,Listings!$AG$2:$AG$76,0)),"")</f>
        <v>18.489999999999998</v>
      </c>
      <c r="E20" s="69">
        <f>IFERROR(INDEX(Listings!$V$2:$V$76,MATCH($A20,Listings!$AG$2:$AG$76,0)),"")</f>
        <v>0.18127450980392157</v>
      </c>
      <c r="F20" s="69">
        <f>IFERROR(INDEX(Listings!$AF$2:$AF$76,MATCH($A20,Listings!$AG$2:$AG$76,0)),"")</f>
        <v>0.18127450980392157</v>
      </c>
      <c r="G20" s="69">
        <f>IFERROR(INDEX(Listings!$O$2:$O$76,MATCH($A20,Listings!$AG$2:$AG$76,0)),"")</f>
        <v>10200</v>
      </c>
      <c r="H20" s="70" t="str">
        <f>IFERROR(INDEX(Listings!$E$2:$E$76,MATCH($A20,Listings!$AG$2:$AG$76,0)),"")</f>
        <v>https://www.amazon.co.uk/Eloquence-Luxuriously-Carefully-Manufactured-Certified/dp/B0GCWW9SLH/ref=sr_1_104?dib=eyJ2IjoiMSJ9.0aKA_PMLIKi2qGTchC6dPM5zhv8QsLw5eUUuDlCSE_fciUTE0oVddZ7NNloM0K-kT9TfCodEDyPi97i00T3eKQDFnA5_sVmcnAjpT7sw9YeRI-stOQCHUaKr9uHkw8uLqJaQbjwE3RYh-mL_1dAvjGWh3f9KlQ0Tf_-utSX-4MrlcYA5jXUL5eeX2WJNsr6V00EpqfrEXfjbhCqqZfmmG3pFt9JnDVJmN3he0e56IBi-Ou8B8eM1tIoPirzfizNAfJbmX96Q6ofLwnboOt2irCSCGUCqO7ZPjjqn83S6mnY.w6hjR7-hjluwhACGaPledFpWgPZmiomJwu0HguJEeWc&amp;dib_tag=se&amp;keywords=toilet+rolls+3ply&amp;qid=1781537902&amp;xpid=FjHbdT4PCS1_n</v>
      </c>
    </row>
    <row r="21" spans="1:8" s="32" customFormat="1" ht="29.25" customHeight="1">
      <c r="A21" s="43"/>
      <c r="B21" s="43"/>
      <c r="C21" s="43"/>
      <c r="D21" s="43"/>
      <c r="E21" s="43"/>
      <c r="F21" s="43"/>
      <c r="G21" s="43"/>
      <c r="H21" s="43"/>
    </row>
    <row r="22" spans="1:8" s="32" customFormat="1" ht="29.25" customHeight="1">
      <c r="A22" s="43"/>
      <c r="B22" s="43"/>
      <c r="C22" s="43"/>
      <c r="D22" s="43"/>
      <c r="E22" s="43"/>
      <c r="F22" s="43"/>
      <c r="G22" s="43"/>
      <c r="H22" s="43"/>
    </row>
    <row r="23" spans="1:8" s="32" customFormat="1" ht="29.25" customHeight="1">
      <c r="A23" s="44" t="s">
        <v>55</v>
      </c>
      <c r="B23" s="45"/>
      <c r="C23" s="45"/>
      <c r="D23" s="45"/>
      <c r="E23" s="45"/>
      <c r="F23" s="45"/>
      <c r="G23" s="45"/>
      <c r="H23" s="45"/>
    </row>
    <row r="24" spans="1:8" s="32" customFormat="1" ht="29.25" customHeight="1">
      <c r="A24" s="45" t="s">
        <v>56</v>
      </c>
      <c r="B24" s="45"/>
      <c r="C24" s="45"/>
      <c r="D24" s="45"/>
      <c r="E24" s="45"/>
      <c r="F24" s="45"/>
      <c r="G24" s="45"/>
      <c r="H24" s="45"/>
    </row>
    <row r="25" spans="1:8" s="32" customFormat="1" ht="29.25" customHeight="1">
      <c r="A25" s="46"/>
      <c r="B25" s="46"/>
      <c r="C25" s="46"/>
      <c r="D25" s="46"/>
      <c r="E25" s="46"/>
      <c r="F25" s="46"/>
      <c r="G25" s="46"/>
      <c r="H25" s="46"/>
    </row>
    <row r="26" spans="1:8" ht="29.25" customHeight="1"/>
    <row r="27" spans="1:8" ht="29.25" customHeight="1"/>
    <row r="28" spans="1:8" ht="29.25" customHeight="1"/>
    <row r="29" spans="1:8" ht="29.25" customHeight="1"/>
    <row r="30" spans="1:8" ht="29.25" customHeight="1"/>
    <row r="31" spans="1:8" ht="29.25" customHeight="1"/>
    <row r="32" spans="1:8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</sheetData>
  <mergeCells count="4">
    <mergeCell ref="A1:H1"/>
    <mergeCell ref="A2:H2"/>
    <mergeCell ref="A23:H23"/>
    <mergeCell ref="A24:H25"/>
  </mergeCells>
  <conditionalFormatting sqref="G11:G20">
    <cfRule type="colorScale" priority="1">
      <colorScale>
        <cfvo type="min"/>
        <cfvo type="percentile" val="50"/>
        <cfvo type="max"/>
        <color rgb="FFFDF2F8"/>
        <color rgb="FFF9A8D4"/>
        <color rgb="FFBE185D"/>
      </colorScale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zoomScale="140" zoomScaleNormal="140" workbookViewId="0">
      <selection activeCell="A3" sqref="A3:H3"/>
    </sheetView>
  </sheetViews>
  <sheetFormatPr baseColWidth="10" defaultColWidth="8.83203125" defaultRowHeight="21"/>
  <cols>
    <col min="1" max="1" width="20" style="48" customWidth="1"/>
    <col min="2" max="3" width="18" style="48" customWidth="1"/>
    <col min="4" max="4" width="20" style="48" customWidth="1"/>
    <col min="5" max="5" width="51.33203125" style="48" bestFit="1" customWidth="1"/>
    <col min="6" max="6" width="34" style="48" customWidth="1"/>
    <col min="7" max="16384" width="8.83203125" style="48"/>
  </cols>
  <sheetData>
    <row r="1" spans="1:8" ht="37.25" customHeight="1">
      <c r="A1" s="47" t="s">
        <v>13</v>
      </c>
      <c r="B1" s="47" t="s">
        <v>57</v>
      </c>
      <c r="C1" s="47" t="s">
        <v>21</v>
      </c>
      <c r="D1" s="47" t="s">
        <v>58</v>
      </c>
      <c r="E1" s="47" t="s">
        <v>43</v>
      </c>
      <c r="F1" s="47" t="s">
        <v>59</v>
      </c>
    </row>
    <row r="2" spans="1:8" ht="45.25" customHeight="1">
      <c r="A2" s="49" t="s">
        <v>60</v>
      </c>
      <c r="B2" s="50"/>
      <c r="C2" s="50"/>
      <c r="D2" s="50"/>
      <c r="E2" s="49" t="s">
        <v>61</v>
      </c>
      <c r="F2" s="49"/>
    </row>
    <row r="3" spans="1:8" ht="45.25" customHeight="1">
      <c r="A3" s="41" t="s">
        <v>62</v>
      </c>
      <c r="B3" s="81"/>
      <c r="C3" s="81"/>
      <c r="D3" s="81"/>
      <c r="E3" s="41" t="s">
        <v>63</v>
      </c>
      <c r="F3" s="41"/>
      <c r="G3" s="32"/>
      <c r="H3" s="32"/>
    </row>
    <row r="4" spans="1:8" ht="45.25" customHeight="1">
      <c r="A4" s="49" t="s">
        <v>64</v>
      </c>
      <c r="B4" s="50"/>
      <c r="C4" s="50"/>
      <c r="D4" s="50"/>
      <c r="E4" s="49" t="s">
        <v>65</v>
      </c>
      <c r="F4" s="49"/>
    </row>
    <row r="5" spans="1:8" ht="45.25" customHeight="1">
      <c r="A5" s="51" t="s">
        <v>66</v>
      </c>
      <c r="B5" s="52"/>
      <c r="C5" s="52"/>
      <c r="D5" s="52"/>
      <c r="E5" s="51" t="s">
        <v>67</v>
      </c>
      <c r="F5" s="51"/>
    </row>
    <row r="6" spans="1:8" ht="45.25" customHeight="1">
      <c r="A6" s="49" t="s">
        <v>68</v>
      </c>
      <c r="B6" s="50"/>
      <c r="C6" s="50"/>
      <c r="D6" s="50"/>
      <c r="E6" s="49" t="s">
        <v>69</v>
      </c>
      <c r="F6" s="49"/>
    </row>
    <row r="7" spans="1:8" ht="45.25" customHeight="1">
      <c r="A7" s="51"/>
      <c r="B7" s="52"/>
      <c r="C7" s="52"/>
      <c r="D7" s="52"/>
      <c r="E7" s="51"/>
      <c r="F7" s="51"/>
    </row>
    <row r="8" spans="1:8" ht="45.25" customHeight="1">
      <c r="A8" s="49"/>
      <c r="B8" s="50"/>
      <c r="C8" s="50"/>
      <c r="D8" s="50"/>
      <c r="E8" s="49"/>
      <c r="F8" s="49"/>
    </row>
    <row r="9" spans="1:8" ht="45.25" customHeight="1">
      <c r="A9" s="51"/>
      <c r="B9" s="52"/>
      <c r="C9" s="52"/>
      <c r="D9" s="52"/>
      <c r="E9" s="51"/>
      <c r="F9" s="51"/>
    </row>
    <row r="10" spans="1:8" ht="45.25" customHeight="1">
      <c r="A10" s="49"/>
      <c r="B10" s="50"/>
      <c r="C10" s="50"/>
      <c r="D10" s="50"/>
      <c r="E10" s="49"/>
      <c r="F10" s="49"/>
    </row>
    <row r="11" spans="1:8" ht="45.25" customHeight="1">
      <c r="A11" s="51"/>
      <c r="B11" s="52"/>
      <c r="C11" s="52"/>
      <c r="D11" s="52"/>
      <c r="E11" s="51"/>
      <c r="F11" s="51"/>
    </row>
    <row r="12" spans="1:8" ht="45.25" customHeight="1">
      <c r="A12" s="49"/>
      <c r="B12" s="50"/>
      <c r="C12" s="50"/>
      <c r="D12" s="50"/>
      <c r="E12" s="49"/>
      <c r="F12" s="49"/>
    </row>
    <row r="13" spans="1:8" ht="45.25" customHeight="1">
      <c r="A13" s="51"/>
      <c r="B13" s="52"/>
      <c r="C13" s="52"/>
      <c r="D13" s="52"/>
      <c r="E13" s="51"/>
      <c r="F13" s="51"/>
    </row>
    <row r="14" spans="1:8" ht="45.25" customHeight="1">
      <c r="A14" s="49"/>
      <c r="B14" s="50"/>
      <c r="C14" s="50"/>
      <c r="D14" s="50"/>
      <c r="E14" s="49"/>
      <c r="F14" s="49"/>
    </row>
    <row r="15" spans="1:8" ht="45.25" customHeight="1">
      <c r="A15" s="51"/>
      <c r="B15" s="52"/>
      <c r="C15" s="52"/>
      <c r="D15" s="52"/>
      <c r="E15" s="51"/>
      <c r="F15" s="51"/>
    </row>
    <row r="16" spans="1:8" ht="45.25" customHeight="1">
      <c r="A16" s="49"/>
      <c r="B16" s="50"/>
      <c r="C16" s="50"/>
      <c r="D16" s="50"/>
      <c r="E16" s="49"/>
      <c r="F16" s="49"/>
    </row>
    <row r="17" spans="1:6" ht="45.25" customHeight="1">
      <c r="A17" s="51"/>
      <c r="B17" s="52"/>
      <c r="C17" s="52"/>
      <c r="D17" s="52"/>
      <c r="E17" s="51"/>
      <c r="F17" s="51"/>
    </row>
    <row r="18" spans="1:6" ht="45.25" customHeight="1">
      <c r="A18" s="49"/>
      <c r="B18" s="50"/>
      <c r="C18" s="50"/>
      <c r="D18" s="50"/>
      <c r="E18" s="49"/>
      <c r="F18" s="49"/>
    </row>
    <row r="19" spans="1:6" ht="45.25" customHeight="1">
      <c r="A19" s="51"/>
      <c r="B19" s="52"/>
      <c r="C19" s="52"/>
      <c r="D19" s="52"/>
      <c r="E19" s="51"/>
      <c r="F19" s="51"/>
    </row>
    <row r="20" spans="1:6" ht="45.25" customHeight="1">
      <c r="A20" s="49"/>
      <c r="B20" s="50"/>
      <c r="C20" s="50"/>
      <c r="D20" s="50"/>
      <c r="E20" s="49"/>
      <c r="F20" s="49"/>
    </row>
    <row r="21" spans="1:6" ht="29.25" customHeight="1">
      <c r="A21" s="51"/>
      <c r="B21" s="52"/>
      <c r="C21" s="52"/>
      <c r="D21" s="52"/>
      <c r="E21" s="51"/>
      <c r="F21" s="51"/>
    </row>
    <row r="22" spans="1:6" ht="29.25" customHeight="1">
      <c r="B22" s="53"/>
      <c r="C22" s="53"/>
      <c r="D22" s="53"/>
    </row>
    <row r="23" spans="1:6" ht="29.25" customHeight="1">
      <c r="B23" s="53"/>
      <c r="C23" s="53"/>
      <c r="D23" s="53"/>
    </row>
    <row r="24" spans="1:6" ht="29.25" customHeight="1">
      <c r="B24" s="53"/>
      <c r="C24" s="53"/>
      <c r="D24" s="53"/>
    </row>
    <row r="25" spans="1:6" ht="29.25" customHeight="1">
      <c r="B25" s="53"/>
      <c r="C25" s="53"/>
      <c r="D25" s="53"/>
    </row>
    <row r="26" spans="1:6" ht="29.25" customHeight="1">
      <c r="B26" s="53"/>
      <c r="C26" s="53"/>
      <c r="D26" s="53"/>
    </row>
    <row r="27" spans="1:6" ht="29.25" customHeight="1">
      <c r="B27" s="53"/>
      <c r="C27" s="53"/>
      <c r="D27" s="53"/>
    </row>
    <row r="28" spans="1:6" ht="29.25" customHeight="1">
      <c r="B28" s="53"/>
      <c r="C28" s="53"/>
      <c r="D28" s="53"/>
    </row>
    <row r="29" spans="1:6" ht="29.25" customHeight="1">
      <c r="B29" s="53"/>
      <c r="C29" s="53"/>
      <c r="D29" s="53"/>
    </row>
    <row r="30" spans="1:6" ht="29.25" customHeight="1">
      <c r="B30" s="53"/>
      <c r="C30" s="53"/>
      <c r="D30" s="53"/>
    </row>
    <row r="31" spans="1:6" ht="29.25" customHeight="1">
      <c r="B31" s="53"/>
      <c r="C31" s="53"/>
      <c r="D31" s="53"/>
    </row>
    <row r="32" spans="1:6" ht="29.25" customHeight="1">
      <c r="B32" s="53"/>
      <c r="C32" s="53"/>
      <c r="D32" s="53"/>
    </row>
    <row r="33" spans="2:4" ht="29.25" customHeight="1">
      <c r="B33" s="53"/>
      <c r="C33" s="53"/>
      <c r="D33" s="53"/>
    </row>
    <row r="34" spans="2:4" ht="29.25" customHeight="1">
      <c r="B34" s="53"/>
      <c r="C34" s="53"/>
      <c r="D34" s="53"/>
    </row>
    <row r="35" spans="2:4" ht="29.25" customHeight="1">
      <c r="B35" s="53"/>
      <c r="C35" s="53"/>
      <c r="D35" s="53"/>
    </row>
    <row r="36" spans="2:4" ht="29.25" customHeight="1">
      <c r="B36" s="53"/>
      <c r="C36" s="53"/>
      <c r="D36" s="53"/>
    </row>
    <row r="37" spans="2:4" ht="29.25" customHeight="1">
      <c r="B37" s="53"/>
      <c r="C37" s="53"/>
      <c r="D37" s="53"/>
    </row>
    <row r="38" spans="2:4" ht="29.25" customHeight="1">
      <c r="B38" s="53"/>
      <c r="C38" s="53"/>
      <c r="D38" s="53"/>
    </row>
    <row r="39" spans="2:4" ht="29.25" customHeight="1">
      <c r="B39" s="53"/>
      <c r="C39" s="53"/>
      <c r="D39" s="53"/>
    </row>
    <row r="40" spans="2:4" ht="29.25" customHeight="1">
      <c r="B40" s="53"/>
      <c r="C40" s="53"/>
      <c r="D40" s="53"/>
    </row>
    <row r="41" spans="2:4" ht="29.25" customHeight="1">
      <c r="B41" s="53"/>
      <c r="C41" s="53"/>
      <c r="D41" s="53"/>
    </row>
    <row r="42" spans="2:4" ht="29.25" customHeight="1">
      <c r="B42" s="53"/>
      <c r="C42" s="53"/>
      <c r="D42" s="53"/>
    </row>
    <row r="43" spans="2:4" ht="29.25" customHeight="1">
      <c r="B43" s="53"/>
      <c r="C43" s="53"/>
      <c r="D43" s="53"/>
    </row>
    <row r="44" spans="2:4" ht="29.25" customHeight="1">
      <c r="B44" s="53"/>
      <c r="C44" s="53"/>
      <c r="D44" s="53"/>
    </row>
    <row r="45" spans="2:4" ht="29.25" customHeight="1">
      <c r="B45" s="53"/>
      <c r="C45" s="53"/>
      <c r="D45" s="53"/>
    </row>
    <row r="46" spans="2:4" ht="29.25" customHeight="1">
      <c r="B46" s="53"/>
      <c r="C46" s="53"/>
      <c r="D46" s="53"/>
    </row>
    <row r="47" spans="2:4" ht="29.25" customHeight="1">
      <c r="B47" s="53"/>
      <c r="C47" s="53"/>
      <c r="D47" s="53"/>
    </row>
    <row r="48" spans="2:4" ht="29.25" customHeight="1">
      <c r="B48" s="53"/>
      <c r="C48" s="53"/>
      <c r="D48" s="53"/>
    </row>
    <row r="49" spans="2:4" ht="29.25" customHeight="1">
      <c r="B49" s="53"/>
      <c r="C49" s="53"/>
      <c r="D49" s="53"/>
    </row>
    <row r="50" spans="2:4" ht="29.25" customHeight="1">
      <c r="B50" s="53"/>
      <c r="C50" s="53"/>
      <c r="D50" s="53"/>
    </row>
    <row r="51" spans="2:4" ht="29.25" customHeight="1">
      <c r="B51" s="53"/>
      <c r="C51" s="53"/>
      <c r="D51" s="53"/>
    </row>
    <row r="52" spans="2:4" ht="29.25" customHeight="1">
      <c r="B52" s="53"/>
      <c r="C52" s="53"/>
      <c r="D52" s="53"/>
    </row>
    <row r="53" spans="2:4" ht="29.25" customHeight="1">
      <c r="B53" s="53"/>
      <c r="C53" s="53"/>
      <c r="D53" s="53"/>
    </row>
    <row r="54" spans="2:4" ht="29.25" customHeight="1">
      <c r="B54" s="53"/>
      <c r="C54" s="53"/>
      <c r="D54" s="53"/>
    </row>
    <row r="55" spans="2:4" ht="29.25" customHeight="1">
      <c r="B55" s="53"/>
      <c r="C55" s="53"/>
      <c r="D55" s="53"/>
    </row>
    <row r="56" spans="2:4" ht="29.25" customHeight="1">
      <c r="B56" s="53"/>
      <c r="C56" s="53"/>
      <c r="D56" s="53"/>
    </row>
    <row r="57" spans="2:4" ht="29.25" customHeight="1">
      <c r="B57" s="53"/>
      <c r="C57" s="53"/>
      <c r="D57" s="53"/>
    </row>
    <row r="58" spans="2:4" ht="29.25" customHeight="1">
      <c r="B58" s="53"/>
      <c r="C58" s="53"/>
      <c r="D58" s="53"/>
    </row>
    <row r="59" spans="2:4" ht="29.25" customHeight="1">
      <c r="B59" s="53"/>
      <c r="C59" s="53"/>
      <c r="D59" s="53"/>
    </row>
    <row r="60" spans="2:4" ht="29.25" customHeight="1">
      <c r="B60" s="53"/>
      <c r="C60" s="53"/>
      <c r="D60" s="53"/>
    </row>
    <row r="61" spans="2:4" ht="29.25" customHeight="1">
      <c r="B61" s="53"/>
      <c r="C61" s="53"/>
      <c r="D61" s="53"/>
    </row>
    <row r="62" spans="2:4" ht="29.25" customHeight="1">
      <c r="B62" s="53"/>
      <c r="C62" s="53"/>
      <c r="D62" s="53"/>
    </row>
    <row r="63" spans="2:4" ht="29.25" customHeight="1">
      <c r="B63" s="53"/>
      <c r="C63" s="53"/>
      <c r="D63" s="53"/>
    </row>
    <row r="64" spans="2:4" ht="29.25" customHeight="1">
      <c r="B64" s="53"/>
      <c r="C64" s="53"/>
      <c r="D64" s="53"/>
    </row>
    <row r="65" spans="2:4" ht="29.25" customHeight="1">
      <c r="B65" s="53"/>
      <c r="C65" s="53"/>
      <c r="D65" s="53"/>
    </row>
    <row r="66" spans="2:4" ht="29.25" customHeight="1">
      <c r="B66" s="53"/>
      <c r="C66" s="53"/>
      <c r="D66" s="53"/>
    </row>
    <row r="67" spans="2:4" ht="29.25" customHeight="1">
      <c r="B67" s="53"/>
      <c r="C67" s="53"/>
      <c r="D67" s="53"/>
    </row>
    <row r="68" spans="2:4" ht="29.25" customHeight="1">
      <c r="B68" s="53"/>
      <c r="C68" s="53"/>
      <c r="D68" s="53"/>
    </row>
    <row r="69" spans="2:4" ht="29.25" customHeight="1">
      <c r="B69" s="53"/>
      <c r="C69" s="53"/>
      <c r="D69" s="53"/>
    </row>
    <row r="70" spans="2:4" ht="29.25" customHeight="1">
      <c r="B70" s="53"/>
      <c r="C70" s="53"/>
      <c r="D70" s="53"/>
    </row>
    <row r="71" spans="2:4" ht="29.25" customHeight="1">
      <c r="B71" s="53"/>
      <c r="C71" s="53"/>
      <c r="D71" s="53"/>
    </row>
    <row r="72" spans="2:4" ht="29.25" customHeight="1">
      <c r="B72" s="53"/>
      <c r="C72" s="53"/>
      <c r="D72" s="53"/>
    </row>
    <row r="73" spans="2:4" ht="29.25" customHeight="1">
      <c r="B73" s="53"/>
      <c r="C73" s="53"/>
      <c r="D73" s="53"/>
    </row>
    <row r="74" spans="2:4" ht="29.25" customHeight="1">
      <c r="B74" s="53"/>
      <c r="C74" s="53"/>
      <c r="D74" s="53"/>
    </row>
    <row r="75" spans="2:4" ht="29.25" customHeight="1">
      <c r="B75" s="53"/>
      <c r="C75" s="53"/>
      <c r="D75" s="53"/>
    </row>
    <row r="76" spans="2:4" ht="29.25" customHeight="1">
      <c r="B76" s="53"/>
      <c r="C76" s="53"/>
      <c r="D76" s="53"/>
    </row>
    <row r="77" spans="2:4" ht="29.25" customHeight="1">
      <c r="B77" s="53"/>
      <c r="C77" s="53"/>
      <c r="D77" s="53"/>
    </row>
    <row r="78" spans="2:4" ht="29.25" customHeight="1">
      <c r="B78" s="53"/>
      <c r="C78" s="53"/>
      <c r="D78" s="53"/>
    </row>
    <row r="79" spans="2:4" ht="29.25" customHeight="1">
      <c r="B79" s="53"/>
      <c r="C79" s="53"/>
      <c r="D79" s="53"/>
    </row>
    <row r="80" spans="2:4" ht="29.25" customHeight="1">
      <c r="B80" s="53"/>
      <c r="C80" s="53"/>
      <c r="D80" s="53"/>
    </row>
    <row r="81" spans="2:4" ht="29.25" customHeight="1">
      <c r="B81" s="53"/>
      <c r="C81" s="53"/>
      <c r="D81" s="53"/>
    </row>
    <row r="82" spans="2:4" ht="29.25" customHeight="1">
      <c r="B82" s="53"/>
      <c r="C82" s="53"/>
      <c r="D82" s="53"/>
    </row>
    <row r="83" spans="2:4" ht="29.25" customHeight="1">
      <c r="B83" s="53"/>
      <c r="C83" s="53"/>
      <c r="D83" s="53"/>
    </row>
    <row r="84" spans="2:4" ht="29.25" customHeight="1">
      <c r="B84" s="53"/>
      <c r="C84" s="53"/>
      <c r="D84" s="53"/>
    </row>
    <row r="85" spans="2:4" ht="29.25" customHeight="1">
      <c r="B85" s="53"/>
      <c r="C85" s="53"/>
      <c r="D85" s="53"/>
    </row>
    <row r="86" spans="2:4" ht="29.25" customHeight="1">
      <c r="B86" s="53"/>
      <c r="C86" s="53"/>
      <c r="D86" s="53"/>
    </row>
    <row r="87" spans="2:4" ht="29.25" customHeight="1">
      <c r="B87" s="53"/>
      <c r="C87" s="53"/>
      <c r="D87" s="53"/>
    </row>
    <row r="88" spans="2:4" ht="29.25" customHeight="1">
      <c r="B88" s="53"/>
      <c r="C88" s="53"/>
      <c r="D88" s="53"/>
    </row>
    <row r="89" spans="2:4" ht="29.25" customHeight="1">
      <c r="B89" s="53"/>
      <c r="C89" s="53"/>
      <c r="D89" s="53"/>
    </row>
    <row r="90" spans="2:4" ht="29.25" customHeight="1">
      <c r="B90" s="53"/>
      <c r="C90" s="53"/>
      <c r="D90" s="53"/>
    </row>
    <row r="91" spans="2:4" ht="29.25" customHeight="1">
      <c r="B91" s="53"/>
      <c r="C91" s="53"/>
      <c r="D91" s="53"/>
    </row>
    <row r="92" spans="2:4" ht="29.25" customHeight="1">
      <c r="B92" s="53"/>
      <c r="C92" s="53"/>
      <c r="D92" s="53"/>
    </row>
    <row r="93" spans="2:4" ht="29.25" customHeight="1">
      <c r="B93" s="53"/>
      <c r="C93" s="53"/>
      <c r="D93" s="53"/>
    </row>
    <row r="94" spans="2:4" ht="29.25" customHeight="1">
      <c r="B94" s="53"/>
      <c r="C94" s="53"/>
      <c r="D94" s="53"/>
    </row>
    <row r="95" spans="2:4" ht="29.25" customHeight="1">
      <c r="B95" s="53"/>
      <c r="C95" s="53"/>
      <c r="D95" s="53"/>
    </row>
    <row r="96" spans="2:4" ht="29.25" customHeight="1">
      <c r="B96" s="53"/>
      <c r="C96" s="53"/>
      <c r="D96" s="53"/>
    </row>
    <row r="97" spans="2:4" ht="29.25" customHeight="1">
      <c r="B97" s="53"/>
      <c r="C97" s="53"/>
      <c r="D97" s="53"/>
    </row>
    <row r="98" spans="2:4" ht="29.25" customHeight="1">
      <c r="B98" s="53"/>
      <c r="C98" s="53"/>
      <c r="D98" s="53"/>
    </row>
    <row r="99" spans="2:4" ht="29.25" customHeight="1">
      <c r="B99" s="53"/>
      <c r="C99" s="53"/>
      <c r="D99" s="53"/>
    </row>
    <row r="100" spans="2:4" ht="29.25" customHeight="1">
      <c r="B100" s="53"/>
      <c r="C100" s="53"/>
      <c r="D100" s="53"/>
    </row>
    <row r="101" spans="2:4" ht="29.25" customHeight="1"/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zoomScale="150" zoomScaleNormal="150" workbookViewId="0">
      <selection activeCell="F1" sqref="F1:F7"/>
    </sheetView>
  </sheetViews>
  <sheetFormatPr baseColWidth="10" defaultColWidth="8.83203125" defaultRowHeight="21"/>
  <cols>
    <col min="1" max="5" width="20" style="55" customWidth="1"/>
    <col min="6" max="6" width="24.33203125" style="55" bestFit="1" customWidth="1"/>
    <col min="7" max="16384" width="8.83203125" style="55"/>
  </cols>
  <sheetData>
    <row r="1" spans="1:6" ht="44">
      <c r="A1" s="54" t="s">
        <v>19</v>
      </c>
      <c r="B1" s="54" t="s">
        <v>70</v>
      </c>
      <c r="C1" s="54" t="s">
        <v>38</v>
      </c>
      <c r="D1" s="54" t="s">
        <v>39</v>
      </c>
      <c r="E1" s="54" t="s">
        <v>142</v>
      </c>
      <c r="F1" s="54" t="s">
        <v>241</v>
      </c>
    </row>
    <row r="2" spans="1:6" ht="29.25" customHeight="1">
      <c r="A2" s="39" t="s">
        <v>44</v>
      </c>
      <c r="B2" s="39" t="s">
        <v>45</v>
      </c>
      <c r="C2" s="39" t="s">
        <v>46</v>
      </c>
      <c r="D2" s="39" t="s">
        <v>71</v>
      </c>
      <c r="E2" s="39" t="s">
        <v>145</v>
      </c>
      <c r="F2" s="39" t="s">
        <v>242</v>
      </c>
    </row>
    <row r="3" spans="1:6" ht="29.25" customHeight="1">
      <c r="A3" s="41" t="s">
        <v>47</v>
      </c>
      <c r="B3" s="41" t="s">
        <v>72</v>
      </c>
      <c r="C3" s="41" t="s">
        <v>48</v>
      </c>
      <c r="D3" s="41" t="s">
        <v>73</v>
      </c>
      <c r="E3" s="41" t="s">
        <v>146</v>
      </c>
      <c r="F3" s="41" t="s">
        <v>243</v>
      </c>
    </row>
    <row r="4" spans="1:6" ht="29.25" customHeight="1">
      <c r="A4" s="39" t="s">
        <v>74</v>
      </c>
      <c r="B4" s="39"/>
      <c r="C4" s="39" t="s">
        <v>75</v>
      </c>
      <c r="D4" s="39"/>
      <c r="E4" s="39" t="s">
        <v>147</v>
      </c>
      <c r="F4" s="39" t="s">
        <v>244</v>
      </c>
    </row>
    <row r="5" spans="1:6" ht="29.25" customHeight="1">
      <c r="A5" s="41"/>
      <c r="B5" s="41"/>
      <c r="C5" s="41"/>
      <c r="D5" s="41"/>
      <c r="E5" s="41"/>
      <c r="F5" s="41" t="s">
        <v>245</v>
      </c>
    </row>
    <row r="6" spans="1:6" ht="29.25" customHeight="1">
      <c r="A6" s="39"/>
      <c r="B6" s="39"/>
      <c r="C6" s="39"/>
      <c r="D6" s="39"/>
      <c r="E6" s="39"/>
      <c r="F6" s="39" t="s">
        <v>246</v>
      </c>
    </row>
    <row r="7" spans="1:6" ht="29.25" customHeight="1">
      <c r="A7" s="41"/>
      <c r="B7" s="41"/>
      <c r="C7" s="41"/>
      <c r="D7" s="41"/>
      <c r="E7" s="41"/>
      <c r="F7" s="41" t="s">
        <v>247</v>
      </c>
    </row>
    <row r="8" spans="1:6" ht="29.25" customHeight="1">
      <c r="A8" s="39"/>
      <c r="B8" s="39"/>
      <c r="C8" s="39"/>
      <c r="D8" s="39"/>
      <c r="E8" s="39"/>
      <c r="F8" s="39"/>
    </row>
    <row r="9" spans="1:6" ht="29.25" customHeight="1">
      <c r="A9" s="41"/>
      <c r="B9" s="41"/>
      <c r="C9" s="41"/>
      <c r="D9" s="41"/>
      <c r="E9" s="41"/>
      <c r="F9" s="41"/>
    </row>
    <row r="10" spans="1:6" ht="29.25" customHeight="1">
      <c r="A10" s="39"/>
      <c r="B10" s="39"/>
      <c r="C10" s="39"/>
      <c r="D10" s="39"/>
      <c r="E10" s="39"/>
      <c r="F10" s="39"/>
    </row>
    <row r="11" spans="1:6" ht="29.25" customHeight="1">
      <c r="A11" s="56"/>
      <c r="B11" s="56"/>
      <c r="C11" s="56"/>
      <c r="D11" s="56"/>
      <c r="E11" s="56"/>
      <c r="F11" s="56"/>
    </row>
    <row r="12" spans="1:6" ht="29.25" customHeight="1"/>
    <row r="13" spans="1:6" ht="29.25" customHeight="1"/>
    <row r="14" spans="1:6" ht="29.25" customHeight="1"/>
    <row r="15" spans="1:6" ht="29.25" customHeight="1"/>
    <row r="16" spans="1: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Listings</vt:lpstr>
      <vt:lpstr>Retailer Summary</vt:lpstr>
      <vt:lpstr>Brand Summary</vt:lpstr>
      <vt:lpstr>Dashboard</vt:lpstr>
      <vt:lpstr>Retailer Rules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Natasha Chan</cp:lastModifiedBy>
  <dcterms:modified xsi:type="dcterms:W3CDTF">2026-06-16T17:05:56Z</dcterms:modified>
</cp:coreProperties>
</file>